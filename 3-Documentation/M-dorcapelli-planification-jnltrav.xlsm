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C1D56500-CC32-413F-9CF7-CBD0C54AA93F}"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JNLTRAV!$A$1:$H$196</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83" i="166" l="1"/>
  <c r="B163" i="166"/>
  <c r="B143" i="166"/>
  <c r="B123" i="166"/>
  <c r="B103" i="166"/>
  <c r="B81" i="166"/>
  <c r="B54" i="166"/>
  <c r="B27" i="166"/>
  <c r="B182" i="157"/>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1" i="156" l="1"/>
  <c r="D1" i="156"/>
  <c r="D38" i="156" s="1"/>
  <c r="D72" i="156" s="1"/>
  <c r="D98" i="156" s="1"/>
  <c r="D103" i="156" s="1"/>
  <c r="D121" i="156" s="1"/>
  <c r="D140" i="156" s="1"/>
  <c r="D159" i="156" s="1"/>
  <c r="D178" i="156" s="1"/>
  <c r="B195" i="156"/>
  <c r="B176" i="156"/>
  <c r="B157" i="156"/>
  <c r="B138" i="156"/>
  <c r="B119" i="156"/>
  <c r="B96" i="156"/>
  <c r="B70" i="156"/>
  <c r="C12" i="7" l="1"/>
  <c r="B18" i="154" l="1"/>
  <c r="B13" i="11" l="1"/>
</calcChain>
</file>

<file path=xl/sharedStrings.xml><?xml version="1.0" encoding="utf-8"?>
<sst xmlns="http://schemas.openxmlformats.org/spreadsheetml/2006/main" count="985" uniqueCount="157">
  <si>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</si>
  <si>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</si>
  <si>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</si>
  <si>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</si>
  <si>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</si>
  <si>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</si>
  <si>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</si>
  <si>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</si>
  <si>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</si>
  <si>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</si>
  <si>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</si>
  <si>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</si>
  <si>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</si>
  <si>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</si>
  <si>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</si>
  <si>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</si>
  <si>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</si>
  <si>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</si>
  <si>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</si>
  <si>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</si>
  <si>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</si>
  <si>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</si>
  <si>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</si>
  <si>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</si>
  <si>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</si>
  <si>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</si>
  <si>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</si>
  <si>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</si>
  <si>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</si>
  <si>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</si>
  <si>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</si>
  <si>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</si>
  <si>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</si>
  <si>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</si>
  <si>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</si>
  <si>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</si>
  <si>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</si>
  <si>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</si>
  <si>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</si>
  <si>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</si>
  <si>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</si>
  <si>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</si>
  <si>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</si>
  <si>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</si>
  <si>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</si>
  <si>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</si>
  <si>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</si>
  <si>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</si>
  <si>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</si>
  <si>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</si>
  <si>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</si>
  <si>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</si>
  <si>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</si>
  <si>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</si>
  <si>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</si>
  <si>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</si>
  <si>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</si>
  <si>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</si>
  <si>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</si>
  <si>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</si>
  <si>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</si>
  <si>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</si>
  <si>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</si>
  <si>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</si>
  <si>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</si>
  <si>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</si>
  <si>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</si>
  <si>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</si>
  <si>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</si>
  <si>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</si>
  <si>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</si>
  <si>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</si>
  <si>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</si>
  <si>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</si>
  <si>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</si>
  <si>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</si>
  <si>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</si>
  <si>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</si>
  <si>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</si>
  <si>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</si>
  <si>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</si>
  <si>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</si>
  <si>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</si>
  <si>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</si>
  <si>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</si>
  <si>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</si>
  <si>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</si>
  <si>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</si>
  <si>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</si>
  <si>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</si>
  <si>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</si>
  <si>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</si>
  <si>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</si>
  <si>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</si>
  <si>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</si>
  <si>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</si>
  <si>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</si>
  <si>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</si>
  <si>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</si>
  <si>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</si>
  <si>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</si>
  <si>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</si>
  <si>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</si>
  <si>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</si>
  <si>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</si>
  <si>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</si>
  <si>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</si>
  <si>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</si>
  <si>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</si>
  <si>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</si>
  <si>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</si>
  <si>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</si>
  <si>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</si>
  <si>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</si>
  <si>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</si>
  <si>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</si>
  <si>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</si>
  <si>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</si>
  <si>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</si>
  <si>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</si>
  <si>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</si>
  <si>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</si>
  <si>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</si>
  <si>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</si>
  <si>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</si>
  <si>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</si>
  <si>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</si>
  <si>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</si>
  <si>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</si>
  <si>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</si>
  <si>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</si>
  <si>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</si>
  <si>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</si>
  <si>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</si>
  <si>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https://icones8.fr/
https://www.w3schools.com/html/html_images.asp
https://stackoverflow.com/questions/8169027/how-can-i-submit-a-post-form-using-the-a-href-tag
</t>
  </si>
  <si>
    <t xml:space="preserve">Réalisation de l'interface de la page de la liste des membres </t>
  </si>
  <si>
    <t xml:space="preserve">https://www.hostinger.fr/tutoriels/redirection-php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</si>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</sst>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0">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8" fillId="0" borderId="3"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Border="1" applyAlignment="1">
      <alignment horizontal="center" vertical="center"/>
    </xf>
    <xf numFmtId="14" fontId="9" fillId="0" borderId="0" xfId="0" applyNumberFormat="1" applyFont="1" applyAlignment="1">
      <alignment horizontal="center" vertical="center"/>
    </xf>
    <xf numFmtId="0" fontId="0" fillId="0" borderId="0" xfId="0" applyAlignment="1">
      <alignment horizontal="center" vertical="center"/>
    </xf>
    <xf numFmtId="0" fontId="0" fillId="9" borderId="0" xfId="0" applyFont="1" applyFill="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image" Target="../media/image7.emf"/><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control" Target="../activeX/activeX6.xml"/><Relationship Id="rId2" Type="http://schemas.openxmlformats.org/officeDocument/2006/relationships/hyperlink" Target="https://www.youtube.com/watch?v=BQo-3ohwL5Y&amp;list=PLMWEEzYqZ0em1vnBx8F5GZd94Ejph4TjO" TargetMode="External"/><Relationship Id="rId16" Type="http://schemas.openxmlformats.org/officeDocument/2006/relationships/vmlDrawing" Target="../drawings/vmlDrawing5.v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drawing" Target="../drawings/drawing4.xml"/><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6" zoomScaleNormal="100" zoomScaleSheetLayoutView="100" workbookViewId="0">
      <selection activeCell="D35" sqref="D35"/>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4" t="s">
        <v>18</v>
      </c>
      <c r="C19" s="205"/>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19"/>
      <c r="E24" s="59"/>
      <c r="F24" s="59"/>
      <c r="G24" s="60"/>
    </row>
    <row r="25" spans="1:7" ht="20.25" x14ac:dyDescent="0.25">
      <c r="A25" s="77"/>
      <c r="B25" s="78">
        <v>5</v>
      </c>
      <c r="C25" s="69" t="s">
        <v>44</v>
      </c>
      <c r="D25" s="219"/>
      <c r="E25" s="59"/>
      <c r="F25" s="59"/>
      <c r="G25" s="60"/>
    </row>
    <row r="26" spans="1:7" ht="20.25" x14ac:dyDescent="0.25">
      <c r="A26" s="77"/>
      <c r="B26" s="80">
        <v>6</v>
      </c>
      <c r="C26" s="69" t="s">
        <v>45</v>
      </c>
      <c r="D26" s="219"/>
      <c r="E26" s="59"/>
      <c r="F26" s="59"/>
      <c r="G26" s="60"/>
    </row>
    <row r="27" spans="1:7" ht="20.25" x14ac:dyDescent="0.25">
      <c r="A27" s="77"/>
      <c r="B27" s="78">
        <v>7</v>
      </c>
      <c r="C27" s="69" t="s">
        <v>93</v>
      </c>
      <c r="D27" s="219"/>
      <c r="E27" s="59"/>
      <c r="F27" s="59"/>
      <c r="G27" s="60"/>
    </row>
    <row r="28" spans="1:7" ht="20.25" x14ac:dyDescent="0.25">
      <c r="A28" s="77"/>
      <c r="B28" s="78">
        <v>8</v>
      </c>
      <c r="C28" s="69" t="s">
        <v>94</v>
      </c>
      <c r="D28" s="219"/>
      <c r="E28" s="59"/>
      <c r="F28" s="59"/>
      <c r="G28" s="60"/>
    </row>
    <row r="29" spans="1:7" ht="20.25" x14ac:dyDescent="0.25">
      <c r="A29" s="77"/>
      <c r="B29" s="80">
        <v>9</v>
      </c>
      <c r="C29" s="69" t="s">
        <v>103</v>
      </c>
      <c r="D29" s="219"/>
      <c r="E29" s="59"/>
      <c r="F29" s="59"/>
      <c r="G29" s="60"/>
    </row>
    <row r="30" spans="1:7" ht="20.25" x14ac:dyDescent="0.25">
      <c r="A30" s="77"/>
      <c r="B30" s="78">
        <v>10</v>
      </c>
      <c r="C30" s="69" t="s">
        <v>95</v>
      </c>
      <c r="D30" s="219"/>
      <c r="E30" s="59"/>
      <c r="F30" s="59"/>
      <c r="G30" s="60"/>
    </row>
    <row r="31" spans="1:7" ht="20.25" x14ac:dyDescent="0.25">
      <c r="A31" s="77"/>
      <c r="B31" s="78">
        <v>11</v>
      </c>
      <c r="C31" s="69" t="s">
        <v>96</v>
      </c>
      <c r="D31" s="219"/>
      <c r="E31" s="59"/>
      <c r="F31" s="59"/>
      <c r="G31" s="60"/>
    </row>
    <row r="32" spans="1:7" ht="20.25" x14ac:dyDescent="0.25">
      <c r="A32" s="77"/>
      <c r="B32" s="80">
        <v>12</v>
      </c>
      <c r="C32" s="69" t="s">
        <v>98</v>
      </c>
      <c r="D32" s="219"/>
      <c r="E32" s="59"/>
      <c r="F32" s="59"/>
      <c r="G32" s="60"/>
    </row>
    <row r="33" spans="1:7" ht="20.25" x14ac:dyDescent="0.25">
      <c r="A33" s="77"/>
      <c r="B33" s="78">
        <v>13</v>
      </c>
      <c r="C33" s="70" t="s">
        <v>97</v>
      </c>
      <c r="D33" s="219"/>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topLeftCell="A3" zoomScale="70" zoomScaleNormal="70" workbookViewId="0">
      <selection activeCell="B1" sqref="B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16384" width="1.5703125" style="89"/>
  </cols>
  <sheetData>
    <row r="1" spans="1:813" ht="14.25" thickBot="1" x14ac:dyDescent="0.3">
      <c r="B1" s="90"/>
      <c r="C1" s="90"/>
    </row>
    <row r="2" spans="1:813" ht="42.75" customHeight="1" thickBot="1" x14ac:dyDescent="0.3">
      <c r="A2" s="91"/>
      <c r="B2" s="92" t="s">
        <v>4</v>
      </c>
      <c r="C2" s="93" t="s">
        <v>17</v>
      </c>
      <c r="D2" s="211" t="s">
        <v>52</v>
      </c>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3"/>
      <c r="CP2" s="211" t="s">
        <v>53</v>
      </c>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c r="DZ2" s="212"/>
      <c r="EA2" s="212"/>
      <c r="EB2" s="212"/>
      <c r="EC2" s="212"/>
      <c r="ED2" s="212"/>
      <c r="EE2" s="212"/>
      <c r="EF2" s="212"/>
      <c r="EG2" s="212"/>
      <c r="EH2" s="212"/>
      <c r="EI2" s="212"/>
      <c r="EJ2" s="212"/>
      <c r="EK2" s="212"/>
      <c r="EL2" s="212"/>
      <c r="EM2" s="212"/>
      <c r="EN2" s="212"/>
      <c r="EO2" s="212"/>
      <c r="EP2" s="212"/>
      <c r="EQ2" s="212"/>
      <c r="ER2" s="212"/>
      <c r="ES2" s="212"/>
      <c r="ET2" s="212"/>
      <c r="EU2" s="212"/>
      <c r="EV2" s="212"/>
      <c r="EW2" s="212"/>
      <c r="EX2" s="212"/>
      <c r="EY2" s="212"/>
      <c r="EZ2" s="212"/>
      <c r="FA2" s="212"/>
      <c r="FB2" s="212"/>
      <c r="FC2" s="212"/>
      <c r="FD2" s="212"/>
      <c r="FE2" s="212"/>
      <c r="FF2" s="212"/>
      <c r="FG2" s="212"/>
      <c r="FH2" s="212"/>
      <c r="FI2" s="212"/>
      <c r="FJ2" s="212"/>
      <c r="FK2" s="212"/>
      <c r="FL2" s="212"/>
      <c r="FM2" s="212"/>
      <c r="FN2" s="212"/>
      <c r="FO2" s="212"/>
      <c r="FP2" s="212"/>
      <c r="FQ2" s="212"/>
      <c r="FR2" s="212"/>
      <c r="FS2" s="212"/>
      <c r="FT2" s="212"/>
      <c r="FU2" s="212"/>
      <c r="FV2" s="212"/>
      <c r="FW2" s="212"/>
      <c r="FX2" s="212"/>
      <c r="FY2" s="212"/>
      <c r="FZ2" s="212"/>
      <c r="GA2" s="213"/>
      <c r="GB2" s="211" t="s">
        <v>54</v>
      </c>
      <c r="GC2" s="212"/>
      <c r="GD2" s="212"/>
      <c r="GE2" s="212"/>
      <c r="GF2" s="212"/>
      <c r="GG2" s="212"/>
      <c r="GH2" s="212"/>
      <c r="GI2" s="212"/>
      <c r="GJ2" s="212"/>
      <c r="GK2" s="212"/>
      <c r="GL2" s="212"/>
      <c r="GM2" s="212"/>
      <c r="GN2" s="212"/>
      <c r="GO2" s="212"/>
      <c r="GP2" s="212"/>
      <c r="GQ2" s="212"/>
      <c r="GR2" s="212"/>
      <c r="GS2" s="212"/>
      <c r="GT2" s="212"/>
      <c r="GU2" s="212"/>
      <c r="GV2" s="212"/>
      <c r="GW2" s="212"/>
      <c r="GX2" s="212"/>
      <c r="GY2" s="212"/>
      <c r="GZ2" s="212"/>
      <c r="HA2" s="212"/>
      <c r="HB2" s="212"/>
      <c r="HC2" s="212"/>
      <c r="HD2" s="212"/>
      <c r="HE2" s="212"/>
      <c r="HF2" s="212"/>
      <c r="HG2" s="212"/>
      <c r="HH2" s="212"/>
      <c r="HI2" s="212"/>
      <c r="HJ2" s="212"/>
      <c r="HK2" s="212"/>
      <c r="HL2" s="212"/>
      <c r="HM2" s="212"/>
      <c r="HN2" s="212"/>
      <c r="HO2" s="212"/>
      <c r="HP2" s="212"/>
      <c r="HQ2" s="212"/>
      <c r="HR2" s="212"/>
      <c r="HS2" s="212"/>
      <c r="HT2" s="212"/>
      <c r="HU2" s="212"/>
      <c r="HV2" s="212"/>
      <c r="HW2" s="212"/>
      <c r="HX2" s="212"/>
      <c r="HY2" s="212"/>
      <c r="HZ2" s="212"/>
      <c r="IA2" s="212"/>
      <c r="IB2" s="212"/>
      <c r="IC2" s="212"/>
      <c r="ID2" s="212"/>
      <c r="IE2" s="212"/>
      <c r="IF2" s="212"/>
      <c r="IG2" s="212"/>
      <c r="IH2" s="212"/>
      <c r="II2" s="212"/>
      <c r="IJ2" s="212"/>
      <c r="IK2" s="212"/>
      <c r="IL2" s="212"/>
      <c r="IM2" s="212"/>
      <c r="IN2" s="212"/>
      <c r="IO2" s="212"/>
      <c r="IP2" s="212"/>
      <c r="IQ2" s="212"/>
      <c r="IR2" s="212"/>
      <c r="IS2" s="212"/>
      <c r="IT2" s="212"/>
      <c r="IU2" s="212"/>
      <c r="IV2" s="212"/>
      <c r="IW2" s="212"/>
      <c r="IX2" s="212"/>
      <c r="IY2" s="212"/>
      <c r="IZ2" s="212"/>
      <c r="JA2" s="212"/>
      <c r="JB2" s="212"/>
      <c r="JC2" s="212"/>
      <c r="JD2" s="212"/>
      <c r="JE2" s="212"/>
      <c r="JF2" s="212"/>
      <c r="JG2" s="212"/>
      <c r="JH2" s="212"/>
      <c r="JI2" s="212"/>
      <c r="JJ2" s="212"/>
      <c r="JK2" s="212"/>
      <c r="JL2" s="212"/>
      <c r="JM2" s="213"/>
      <c r="JN2" s="211" t="s">
        <v>55</v>
      </c>
      <c r="JO2" s="212"/>
      <c r="JP2" s="212"/>
      <c r="JQ2" s="212"/>
      <c r="JR2" s="212"/>
      <c r="JS2" s="212"/>
      <c r="JT2" s="212"/>
      <c r="JU2" s="212"/>
      <c r="JV2" s="212"/>
      <c r="JW2" s="212"/>
      <c r="JX2" s="212"/>
      <c r="JY2" s="212"/>
      <c r="JZ2" s="212"/>
      <c r="KA2" s="212"/>
      <c r="KB2" s="212"/>
      <c r="KC2" s="212"/>
      <c r="KD2" s="212"/>
      <c r="KE2" s="212"/>
      <c r="KF2" s="212"/>
      <c r="KG2" s="212"/>
      <c r="KH2" s="212"/>
      <c r="KI2" s="212"/>
      <c r="KJ2" s="212"/>
      <c r="KK2" s="212"/>
      <c r="KL2" s="212"/>
      <c r="KM2" s="212"/>
      <c r="KN2" s="212"/>
      <c r="KO2" s="212"/>
      <c r="KP2" s="212"/>
      <c r="KQ2" s="212"/>
      <c r="KR2" s="212"/>
      <c r="KS2" s="212"/>
      <c r="KT2" s="212"/>
      <c r="KU2" s="212"/>
      <c r="KV2" s="212"/>
      <c r="KW2" s="212"/>
      <c r="KX2" s="212"/>
      <c r="KY2" s="212"/>
      <c r="KZ2" s="212"/>
      <c r="LA2" s="212"/>
      <c r="LB2" s="212"/>
      <c r="LC2" s="212"/>
      <c r="LD2" s="212"/>
      <c r="LE2" s="212"/>
      <c r="LF2" s="212"/>
      <c r="LG2" s="212"/>
      <c r="LH2" s="212"/>
      <c r="LI2" s="212"/>
      <c r="LJ2" s="212"/>
      <c r="LK2" s="212"/>
      <c r="LL2" s="212"/>
      <c r="LM2" s="212"/>
      <c r="LN2" s="212"/>
      <c r="LO2" s="212"/>
      <c r="LP2" s="212"/>
      <c r="LQ2" s="212"/>
      <c r="LR2" s="212"/>
      <c r="LS2" s="212"/>
      <c r="LT2" s="212"/>
      <c r="LU2" s="212"/>
      <c r="LV2" s="212"/>
      <c r="LW2" s="212"/>
      <c r="LX2" s="212"/>
      <c r="LY2" s="212"/>
      <c r="LZ2" s="212"/>
      <c r="MA2" s="212"/>
      <c r="MB2" s="212"/>
      <c r="MC2" s="212"/>
      <c r="MD2" s="212"/>
      <c r="ME2" s="212"/>
      <c r="MF2" s="212"/>
      <c r="MG2" s="212"/>
      <c r="MH2" s="212"/>
      <c r="MI2" s="212"/>
      <c r="MJ2" s="212"/>
      <c r="MK2" s="212"/>
      <c r="ML2" s="212"/>
      <c r="MM2" s="212"/>
      <c r="MN2" s="212"/>
      <c r="MO2" s="212"/>
      <c r="MP2" s="212"/>
      <c r="MQ2" s="212"/>
      <c r="MR2" s="212"/>
      <c r="MS2" s="212"/>
      <c r="MT2" s="212"/>
      <c r="MU2" s="212"/>
      <c r="MV2" s="212"/>
      <c r="MW2" s="212"/>
      <c r="MX2" s="212"/>
      <c r="MY2" s="213"/>
      <c r="MZ2" s="211" t="s">
        <v>56</v>
      </c>
      <c r="NA2" s="212"/>
      <c r="NB2" s="212"/>
      <c r="NC2" s="212"/>
      <c r="ND2" s="212"/>
      <c r="NE2" s="212"/>
      <c r="NF2" s="212"/>
      <c r="NG2" s="212"/>
      <c r="NH2" s="212"/>
      <c r="NI2" s="212"/>
      <c r="NJ2" s="212"/>
      <c r="NK2" s="212"/>
      <c r="NL2" s="212"/>
      <c r="NM2" s="212"/>
      <c r="NN2" s="212"/>
      <c r="NO2" s="212"/>
      <c r="NP2" s="212"/>
      <c r="NQ2" s="212"/>
      <c r="NR2" s="212"/>
      <c r="NS2" s="212"/>
      <c r="NT2" s="212"/>
      <c r="NU2" s="212"/>
      <c r="NV2" s="212"/>
      <c r="NW2" s="212"/>
      <c r="NX2" s="212"/>
      <c r="NY2" s="212"/>
      <c r="NZ2" s="212"/>
      <c r="OA2" s="212"/>
      <c r="OB2" s="212"/>
      <c r="OC2" s="212"/>
      <c r="OD2" s="212"/>
      <c r="OE2" s="212"/>
      <c r="OF2" s="212"/>
      <c r="OG2" s="212"/>
      <c r="OH2" s="212"/>
      <c r="OI2" s="212"/>
      <c r="OJ2" s="212"/>
      <c r="OK2" s="212"/>
      <c r="OL2" s="212"/>
      <c r="OM2" s="212"/>
      <c r="ON2" s="212"/>
      <c r="OO2" s="212"/>
      <c r="OP2" s="212"/>
      <c r="OQ2" s="212"/>
      <c r="OR2" s="212"/>
      <c r="OS2" s="212"/>
      <c r="OT2" s="212"/>
      <c r="OU2" s="212"/>
      <c r="OV2" s="212"/>
      <c r="OW2" s="212"/>
      <c r="OX2" s="212"/>
      <c r="OY2" s="212"/>
      <c r="OZ2" s="212"/>
      <c r="PA2" s="212"/>
      <c r="PB2" s="212"/>
      <c r="PC2" s="212"/>
      <c r="PD2" s="212"/>
      <c r="PE2" s="212"/>
      <c r="PF2" s="212"/>
      <c r="PG2" s="212"/>
      <c r="PH2" s="212"/>
      <c r="PI2" s="212"/>
      <c r="PJ2" s="212"/>
      <c r="PK2" s="212"/>
      <c r="PL2" s="212"/>
      <c r="PM2" s="212"/>
      <c r="PN2" s="212"/>
      <c r="PO2" s="212"/>
      <c r="PP2" s="212"/>
      <c r="PQ2" s="212"/>
      <c r="PR2" s="212"/>
      <c r="PS2" s="212"/>
      <c r="PT2" s="212"/>
      <c r="PU2" s="212"/>
      <c r="PV2" s="212"/>
      <c r="PW2" s="212"/>
      <c r="PX2" s="212"/>
      <c r="PY2" s="212"/>
      <c r="PZ2" s="212"/>
      <c r="QA2" s="212"/>
      <c r="QB2" s="212"/>
      <c r="QC2" s="212"/>
      <c r="QD2" s="212"/>
      <c r="QE2" s="212"/>
      <c r="QF2" s="212"/>
      <c r="QG2" s="212"/>
      <c r="QH2" s="212"/>
      <c r="QI2" s="212"/>
      <c r="QJ2" s="212"/>
      <c r="QK2" s="213"/>
      <c r="QL2" s="211" t="s">
        <v>57</v>
      </c>
      <c r="QM2" s="212"/>
      <c r="QN2" s="212"/>
      <c r="QO2" s="212"/>
      <c r="QP2" s="212"/>
      <c r="QQ2" s="212"/>
      <c r="QR2" s="212"/>
      <c r="QS2" s="212"/>
      <c r="QT2" s="212"/>
      <c r="QU2" s="212"/>
      <c r="QV2" s="212"/>
      <c r="QW2" s="212"/>
      <c r="QX2" s="212"/>
      <c r="QY2" s="212"/>
      <c r="QZ2" s="212"/>
      <c r="RA2" s="212"/>
      <c r="RB2" s="212"/>
      <c r="RC2" s="212"/>
      <c r="RD2" s="212"/>
      <c r="RE2" s="212"/>
      <c r="RF2" s="212"/>
      <c r="RG2" s="212"/>
      <c r="RH2" s="212"/>
      <c r="RI2" s="212"/>
      <c r="RJ2" s="212"/>
      <c r="RK2" s="212"/>
      <c r="RL2" s="212"/>
      <c r="RM2" s="212"/>
      <c r="RN2" s="212"/>
      <c r="RO2" s="212"/>
      <c r="RP2" s="212"/>
      <c r="RQ2" s="212"/>
      <c r="RR2" s="212"/>
      <c r="RS2" s="212"/>
      <c r="RT2" s="212"/>
      <c r="RU2" s="212"/>
      <c r="RV2" s="212"/>
      <c r="RW2" s="212"/>
      <c r="RX2" s="212"/>
      <c r="RY2" s="212"/>
      <c r="RZ2" s="212"/>
      <c r="SA2" s="212"/>
      <c r="SB2" s="212"/>
      <c r="SC2" s="212"/>
      <c r="SD2" s="212"/>
      <c r="SE2" s="212"/>
      <c r="SF2" s="212"/>
      <c r="SG2" s="212"/>
      <c r="SH2" s="212"/>
      <c r="SI2" s="212"/>
      <c r="SJ2" s="212"/>
      <c r="SK2" s="212"/>
      <c r="SL2" s="212"/>
      <c r="SM2" s="212"/>
      <c r="SN2" s="212"/>
      <c r="SO2" s="212"/>
      <c r="SP2" s="212"/>
      <c r="SQ2" s="212"/>
      <c r="SR2" s="212"/>
      <c r="SS2" s="212"/>
      <c r="ST2" s="212"/>
      <c r="SU2" s="212"/>
      <c r="SV2" s="212"/>
      <c r="SW2" s="212"/>
      <c r="SX2" s="212"/>
      <c r="SY2" s="212"/>
      <c r="SZ2" s="212"/>
      <c r="TA2" s="212"/>
      <c r="TB2" s="212"/>
      <c r="TC2" s="212"/>
      <c r="TD2" s="212"/>
      <c r="TE2" s="212"/>
      <c r="TF2" s="212"/>
      <c r="TG2" s="212"/>
      <c r="TH2" s="212"/>
      <c r="TI2" s="212"/>
      <c r="TJ2" s="212"/>
      <c r="TK2" s="212"/>
      <c r="TL2" s="212"/>
      <c r="TM2" s="212"/>
      <c r="TN2" s="212"/>
      <c r="TO2" s="212"/>
      <c r="TP2" s="212"/>
      <c r="TQ2" s="212"/>
      <c r="TR2" s="212"/>
      <c r="TS2" s="212"/>
      <c r="TT2" s="212"/>
      <c r="TU2" s="212"/>
      <c r="TV2" s="212"/>
      <c r="TW2" s="213"/>
      <c r="TX2" s="211" t="s">
        <v>58</v>
      </c>
      <c r="TY2" s="212"/>
      <c r="TZ2" s="212"/>
      <c r="UA2" s="212"/>
      <c r="UB2" s="212"/>
      <c r="UC2" s="212"/>
      <c r="UD2" s="212"/>
      <c r="UE2" s="212"/>
      <c r="UF2" s="212"/>
      <c r="UG2" s="212"/>
      <c r="UH2" s="212"/>
      <c r="UI2" s="212"/>
      <c r="UJ2" s="212"/>
      <c r="UK2" s="212"/>
      <c r="UL2" s="212"/>
      <c r="UM2" s="212"/>
      <c r="UN2" s="212"/>
      <c r="UO2" s="212"/>
      <c r="UP2" s="212"/>
      <c r="UQ2" s="212"/>
      <c r="UR2" s="212"/>
      <c r="US2" s="212"/>
      <c r="UT2" s="212"/>
      <c r="UU2" s="212"/>
      <c r="UV2" s="212"/>
      <c r="UW2" s="212"/>
      <c r="UX2" s="212"/>
      <c r="UY2" s="212"/>
      <c r="UZ2" s="212"/>
      <c r="VA2" s="212"/>
      <c r="VB2" s="212"/>
      <c r="VC2" s="212"/>
      <c r="VD2" s="212"/>
      <c r="VE2" s="212"/>
      <c r="VF2" s="212"/>
      <c r="VG2" s="212"/>
      <c r="VH2" s="212"/>
      <c r="VI2" s="212"/>
      <c r="VJ2" s="212"/>
      <c r="VK2" s="212"/>
      <c r="VL2" s="212"/>
      <c r="VM2" s="212"/>
      <c r="VN2" s="212"/>
      <c r="VO2" s="212"/>
      <c r="VP2" s="212"/>
      <c r="VQ2" s="212"/>
      <c r="VR2" s="212"/>
      <c r="VS2" s="212"/>
      <c r="VT2" s="212"/>
      <c r="VU2" s="212"/>
      <c r="VV2" s="212"/>
      <c r="VW2" s="212"/>
      <c r="VX2" s="212"/>
      <c r="VY2" s="212"/>
      <c r="VZ2" s="212"/>
      <c r="WA2" s="212"/>
      <c r="WB2" s="212"/>
      <c r="WC2" s="212"/>
      <c r="WD2" s="212"/>
      <c r="WE2" s="212"/>
      <c r="WF2" s="212"/>
      <c r="WG2" s="212"/>
      <c r="WH2" s="212"/>
      <c r="WI2" s="212"/>
      <c r="WJ2" s="212"/>
      <c r="WK2" s="212"/>
      <c r="WL2" s="212"/>
      <c r="WM2" s="212"/>
      <c r="WN2" s="212"/>
      <c r="WO2" s="212"/>
      <c r="WP2" s="212"/>
      <c r="WQ2" s="212"/>
      <c r="WR2" s="212"/>
      <c r="WS2" s="212"/>
      <c r="WT2" s="212"/>
      <c r="WU2" s="212"/>
      <c r="WV2" s="212"/>
      <c r="WW2" s="212"/>
      <c r="WX2" s="212"/>
      <c r="WY2" s="212"/>
      <c r="WZ2" s="212"/>
      <c r="XA2" s="212"/>
      <c r="XB2" s="212"/>
      <c r="XC2" s="212"/>
      <c r="XD2" s="212"/>
      <c r="XE2" s="212"/>
      <c r="XF2" s="212"/>
      <c r="XG2" s="212"/>
      <c r="XH2" s="212"/>
      <c r="XI2" s="213"/>
      <c r="XJ2" s="211" t="s">
        <v>59</v>
      </c>
      <c r="XK2" s="212"/>
      <c r="XL2" s="212"/>
      <c r="XM2" s="212"/>
      <c r="XN2" s="212"/>
      <c r="XO2" s="212"/>
      <c r="XP2" s="212"/>
      <c r="XQ2" s="212"/>
      <c r="XR2" s="212"/>
      <c r="XS2" s="212"/>
      <c r="XT2" s="212"/>
      <c r="XU2" s="212"/>
      <c r="XV2" s="212"/>
      <c r="XW2" s="212"/>
      <c r="XX2" s="212"/>
      <c r="XY2" s="212"/>
      <c r="XZ2" s="212"/>
      <c r="YA2" s="212"/>
      <c r="YB2" s="212"/>
      <c r="YC2" s="212"/>
      <c r="YD2" s="212"/>
      <c r="YE2" s="212"/>
      <c r="YF2" s="212"/>
      <c r="YG2" s="212"/>
      <c r="YH2" s="212"/>
      <c r="YI2" s="212"/>
      <c r="YJ2" s="212"/>
      <c r="YK2" s="212"/>
      <c r="YL2" s="212"/>
      <c r="YM2" s="212"/>
      <c r="YN2" s="212"/>
      <c r="YO2" s="212"/>
      <c r="YP2" s="212"/>
      <c r="YQ2" s="212"/>
      <c r="YR2" s="212"/>
      <c r="YS2" s="212"/>
      <c r="YT2" s="212"/>
      <c r="YU2" s="212"/>
      <c r="YV2" s="212"/>
      <c r="YW2" s="212"/>
      <c r="YX2" s="212"/>
      <c r="YY2" s="212"/>
      <c r="YZ2" s="212"/>
      <c r="ZA2" s="212"/>
      <c r="ZB2" s="212"/>
      <c r="ZC2" s="212"/>
      <c r="ZD2" s="212"/>
      <c r="ZE2" s="212"/>
      <c r="ZF2" s="212"/>
      <c r="ZG2" s="212"/>
      <c r="ZH2" s="212"/>
      <c r="ZI2" s="212"/>
      <c r="ZJ2" s="212"/>
      <c r="ZK2" s="212"/>
      <c r="ZL2" s="212"/>
      <c r="ZM2" s="212"/>
      <c r="ZN2" s="212"/>
      <c r="ZO2" s="212"/>
      <c r="ZP2" s="212"/>
      <c r="ZQ2" s="212"/>
      <c r="ZR2" s="212"/>
      <c r="ZS2" s="212"/>
      <c r="ZT2" s="212"/>
      <c r="ZU2" s="212"/>
      <c r="ZV2" s="212"/>
      <c r="ZW2" s="212"/>
      <c r="ZX2" s="212"/>
      <c r="ZY2" s="212"/>
      <c r="ZZ2" s="212"/>
      <c r="AAA2" s="212"/>
      <c r="AAB2" s="212"/>
      <c r="AAC2" s="212"/>
      <c r="AAD2" s="212"/>
      <c r="AAE2" s="212"/>
      <c r="AAF2" s="212"/>
      <c r="AAG2" s="212"/>
      <c r="AAH2" s="212"/>
      <c r="AAI2" s="212"/>
      <c r="AAJ2" s="212"/>
      <c r="AAK2" s="212"/>
      <c r="AAL2" s="212"/>
      <c r="AAM2" s="212"/>
      <c r="AAN2" s="212"/>
      <c r="AAO2" s="212"/>
      <c r="AAP2" s="212"/>
      <c r="AAQ2" s="212"/>
      <c r="AAR2" s="212"/>
      <c r="AAS2" s="212"/>
      <c r="AAT2" s="212"/>
      <c r="AAU2" s="213"/>
      <c r="AAV2" s="211" t="s">
        <v>60</v>
      </c>
      <c r="AAW2" s="212"/>
      <c r="AAX2" s="212"/>
      <c r="AAY2" s="212"/>
      <c r="AAZ2" s="212"/>
      <c r="ABA2" s="212"/>
      <c r="ABB2" s="212"/>
      <c r="ABC2" s="212"/>
      <c r="ABD2" s="212"/>
      <c r="ABE2" s="212"/>
      <c r="ABF2" s="212"/>
      <c r="ABG2" s="212"/>
      <c r="ABH2" s="212"/>
      <c r="ABI2" s="212"/>
      <c r="ABJ2" s="212"/>
      <c r="ABK2" s="212"/>
      <c r="ABL2" s="212"/>
      <c r="ABM2" s="212"/>
      <c r="ABN2" s="212"/>
      <c r="ABO2" s="212"/>
      <c r="ABP2" s="212"/>
      <c r="ABQ2" s="212"/>
      <c r="ABR2" s="212"/>
      <c r="ABS2" s="212"/>
      <c r="ABT2" s="212"/>
      <c r="ABU2" s="212"/>
      <c r="ABV2" s="212"/>
      <c r="ABW2" s="212"/>
      <c r="ABX2" s="212"/>
      <c r="ABY2" s="212"/>
      <c r="ABZ2" s="212"/>
      <c r="ACA2" s="212"/>
      <c r="ACB2" s="212"/>
      <c r="ACC2" s="212"/>
      <c r="ACD2" s="212"/>
      <c r="ACE2" s="212"/>
      <c r="ACF2" s="212"/>
      <c r="ACG2" s="212"/>
      <c r="ACH2" s="212"/>
      <c r="ACI2" s="212"/>
      <c r="ACJ2" s="212"/>
      <c r="ACK2" s="212"/>
      <c r="ACL2" s="212"/>
      <c r="ACM2" s="212"/>
      <c r="ACN2" s="212"/>
      <c r="ACO2" s="212"/>
      <c r="ACP2" s="212"/>
      <c r="ACQ2" s="212"/>
      <c r="ACR2" s="212"/>
      <c r="ACS2" s="212"/>
      <c r="ACT2" s="212"/>
      <c r="ACU2" s="212"/>
      <c r="ACV2" s="212"/>
      <c r="ACW2" s="212"/>
      <c r="ACX2" s="212"/>
      <c r="ACY2" s="212"/>
      <c r="ACZ2" s="212"/>
      <c r="ADA2" s="212"/>
      <c r="ADB2" s="212"/>
      <c r="ADC2" s="212"/>
      <c r="ADD2" s="212"/>
      <c r="ADE2" s="212"/>
      <c r="ADF2" s="212"/>
      <c r="ADG2" s="212"/>
      <c r="ADH2" s="212"/>
      <c r="ADI2" s="212"/>
      <c r="ADJ2" s="212"/>
      <c r="ADK2" s="212"/>
      <c r="ADL2" s="212"/>
      <c r="ADM2" s="212"/>
      <c r="ADN2" s="212"/>
      <c r="ADO2" s="212"/>
      <c r="ADP2" s="212"/>
      <c r="ADQ2" s="212"/>
      <c r="ADR2" s="212"/>
      <c r="ADS2" s="212"/>
      <c r="ADT2" s="212"/>
      <c r="ADU2" s="212"/>
      <c r="ADV2" s="212"/>
      <c r="ADW2" s="212"/>
      <c r="ADX2" s="212"/>
      <c r="ADY2" s="212"/>
      <c r="ADZ2" s="212"/>
      <c r="AEA2" s="212"/>
      <c r="AEB2" s="212"/>
      <c r="AEC2" s="212"/>
      <c r="AED2" s="212"/>
      <c r="AEE2" s="212"/>
      <c r="AEF2" s="212"/>
      <c r="AEG2" s="213"/>
    </row>
    <row r="3" spans="1:813" ht="19.5" customHeight="1" x14ac:dyDescent="0.25">
      <c r="A3" s="91"/>
      <c r="B3" s="208"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09"/>
      <c r="C4" s="100">
        <v>148</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51"/>
      <c r="FB4" s="149"/>
      <c r="FC4" s="150"/>
      <c r="FD4" s="151"/>
      <c r="FE4" s="149"/>
      <c r="FF4" s="150"/>
      <c r="FG4" s="151"/>
      <c r="FH4" s="149"/>
      <c r="FI4" s="150"/>
      <c r="FJ4" s="151"/>
      <c r="FK4" s="149"/>
      <c r="FL4" s="150"/>
      <c r="FM4" s="151"/>
      <c r="FN4" s="149"/>
      <c r="FO4" s="150"/>
      <c r="FP4" s="151"/>
      <c r="FQ4" s="149"/>
      <c r="FR4" s="150"/>
      <c r="FS4" s="151"/>
      <c r="FT4" s="149"/>
      <c r="FU4" s="150"/>
      <c r="FV4" s="151"/>
      <c r="FW4" s="149"/>
      <c r="FX4" s="150"/>
      <c r="FY4" s="151"/>
      <c r="FZ4" s="149"/>
      <c r="GA4" s="184"/>
      <c r="GB4" s="148"/>
      <c r="GC4" s="149"/>
      <c r="GD4" s="150"/>
      <c r="GE4" s="151"/>
      <c r="GF4" s="149"/>
      <c r="GG4" s="150"/>
      <c r="GH4" s="151"/>
      <c r="GI4" s="149"/>
      <c r="GJ4" s="150"/>
      <c r="GK4" s="151"/>
      <c r="GL4" s="149"/>
      <c r="GM4" s="150"/>
      <c r="GN4" s="151"/>
      <c r="GO4" s="149"/>
      <c r="GP4" s="150"/>
      <c r="GQ4" s="151"/>
      <c r="GR4" s="149"/>
      <c r="GS4" s="150"/>
      <c r="GT4" s="151"/>
      <c r="GU4" s="149"/>
      <c r="GV4" s="150"/>
      <c r="GW4" s="151"/>
      <c r="GX4" s="149"/>
      <c r="GY4" s="150"/>
      <c r="GZ4" s="151"/>
      <c r="HA4" s="149"/>
      <c r="HB4" s="150"/>
      <c r="HC4" s="151"/>
      <c r="HD4" s="149"/>
      <c r="HE4" s="150"/>
      <c r="HF4" s="151"/>
      <c r="HG4" s="149"/>
      <c r="HH4" s="150"/>
      <c r="HI4" s="151"/>
      <c r="HJ4" s="149"/>
      <c r="HK4" s="150"/>
      <c r="HL4" s="151"/>
      <c r="HM4" s="149"/>
      <c r="HN4" s="150"/>
      <c r="HO4" s="151"/>
      <c r="HP4" s="149"/>
      <c r="HQ4" s="150"/>
      <c r="HR4" s="151"/>
      <c r="HS4" s="149"/>
      <c r="HT4" s="150"/>
      <c r="HU4" s="151"/>
      <c r="HV4" s="149"/>
      <c r="HW4" s="150"/>
      <c r="HX4" s="151"/>
      <c r="HY4" s="149"/>
      <c r="HZ4" s="150"/>
      <c r="IA4" s="151"/>
      <c r="IB4" s="149"/>
      <c r="IC4" s="150"/>
      <c r="ID4" s="151"/>
      <c r="IE4" s="149"/>
      <c r="IF4" s="150"/>
      <c r="IG4" s="151"/>
      <c r="IH4" s="149"/>
      <c r="II4" s="150"/>
      <c r="IJ4" s="151"/>
      <c r="IK4" s="149"/>
      <c r="IL4" s="150"/>
      <c r="IM4" s="151"/>
      <c r="IN4" s="149"/>
      <c r="IO4" s="150"/>
      <c r="IP4" s="151"/>
      <c r="IQ4" s="149"/>
      <c r="IR4" s="150"/>
      <c r="IS4" s="151"/>
      <c r="IT4" s="149"/>
      <c r="IU4" s="150"/>
      <c r="IV4" s="151"/>
      <c r="IW4" s="149"/>
      <c r="IX4" s="150"/>
      <c r="IY4" s="151"/>
      <c r="IZ4" s="149"/>
      <c r="JA4" s="150"/>
      <c r="JB4" s="151"/>
      <c r="JC4" s="149"/>
      <c r="JD4" s="150"/>
      <c r="JE4" s="151"/>
      <c r="JF4" s="149"/>
      <c r="JG4" s="150"/>
      <c r="JH4" s="151"/>
      <c r="JI4" s="149"/>
      <c r="JJ4" s="150"/>
      <c r="JK4" s="104"/>
      <c r="JL4" s="102"/>
      <c r="JM4" s="105"/>
      <c r="JN4" s="101"/>
      <c r="JO4" s="102"/>
      <c r="JP4" s="103"/>
      <c r="JQ4" s="104"/>
      <c r="JR4" s="102"/>
      <c r="JS4" s="103"/>
      <c r="JT4" s="104"/>
      <c r="JU4" s="102"/>
      <c r="JV4" s="103"/>
      <c r="JW4" s="104"/>
      <c r="JX4" s="102"/>
      <c r="JY4" s="103"/>
      <c r="JZ4" s="104"/>
      <c r="KA4" s="102"/>
      <c r="KB4" s="103"/>
      <c r="KC4" s="104"/>
      <c r="KD4" s="102"/>
      <c r="KE4" s="103"/>
      <c r="KF4" s="104"/>
      <c r="KG4" s="102"/>
      <c r="KH4" s="103"/>
      <c r="KI4" s="104"/>
      <c r="KJ4" s="102"/>
      <c r="KK4" s="103"/>
      <c r="KL4" s="104"/>
      <c r="KM4" s="102"/>
      <c r="KN4" s="103"/>
      <c r="KO4" s="104"/>
      <c r="KP4" s="102"/>
      <c r="KQ4" s="103"/>
      <c r="KR4" s="104"/>
      <c r="KS4" s="102"/>
      <c r="KT4" s="103"/>
      <c r="KU4" s="104"/>
      <c r="KV4" s="102"/>
      <c r="KW4" s="103"/>
      <c r="KX4" s="104"/>
      <c r="KY4" s="102"/>
      <c r="KZ4" s="103"/>
      <c r="LA4" s="104"/>
      <c r="LB4" s="102"/>
      <c r="LC4" s="103"/>
      <c r="LD4" s="104"/>
      <c r="LE4" s="102"/>
      <c r="LF4" s="103"/>
      <c r="LG4" s="104"/>
      <c r="LH4" s="102"/>
      <c r="LI4" s="103"/>
      <c r="LJ4" s="104"/>
      <c r="LK4" s="102"/>
      <c r="LL4" s="103"/>
      <c r="LM4" s="104"/>
      <c r="LN4" s="102"/>
      <c r="LO4" s="103"/>
      <c r="LP4" s="104"/>
      <c r="LQ4" s="102"/>
      <c r="LR4" s="103"/>
      <c r="LS4" s="104"/>
      <c r="LT4" s="102"/>
      <c r="LU4" s="103"/>
      <c r="LV4" s="104"/>
      <c r="LW4" s="102"/>
      <c r="LX4" s="103"/>
      <c r="LY4" s="104"/>
      <c r="LZ4" s="102"/>
      <c r="MA4" s="103"/>
      <c r="MB4" s="104"/>
      <c r="MC4" s="102"/>
      <c r="MD4" s="103"/>
      <c r="ME4" s="104"/>
      <c r="MF4" s="102"/>
      <c r="MG4" s="103"/>
      <c r="MH4" s="104"/>
      <c r="MI4" s="102"/>
      <c r="MJ4" s="103"/>
      <c r="MK4" s="104"/>
      <c r="ML4" s="102"/>
      <c r="MM4" s="103"/>
      <c r="MN4" s="104"/>
      <c r="MO4" s="102"/>
      <c r="MP4" s="103"/>
      <c r="MQ4" s="104"/>
      <c r="MR4" s="102"/>
      <c r="MS4" s="103"/>
      <c r="MT4" s="104"/>
      <c r="MU4" s="102"/>
      <c r="MV4" s="103"/>
      <c r="MW4" s="104"/>
      <c r="MX4" s="102"/>
      <c r="MY4" s="105"/>
      <c r="MZ4" s="101"/>
      <c r="NA4" s="102"/>
      <c r="NB4" s="103"/>
      <c r="NC4" s="104"/>
      <c r="ND4" s="102"/>
      <c r="NE4" s="103"/>
      <c r="NF4" s="104"/>
      <c r="NG4" s="102"/>
      <c r="NH4" s="103"/>
      <c r="NI4" s="104"/>
      <c r="NJ4" s="102"/>
      <c r="NK4" s="103"/>
      <c r="NL4" s="104"/>
      <c r="NM4" s="102"/>
      <c r="NN4" s="103"/>
      <c r="NO4" s="104"/>
      <c r="NP4" s="102"/>
      <c r="NQ4" s="103"/>
      <c r="NR4" s="104"/>
      <c r="NS4" s="102"/>
      <c r="NT4" s="103"/>
      <c r="NU4" s="104"/>
      <c r="NV4" s="102"/>
      <c r="NW4" s="103"/>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0"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07"/>
      <c r="C6" s="107">
        <v>6</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05"/>
      <c r="GB6" s="101"/>
      <c r="GC6" s="102"/>
      <c r="GD6" s="103"/>
      <c r="GE6" s="104"/>
      <c r="GF6" s="102"/>
      <c r="GG6" s="103"/>
      <c r="GH6" s="104"/>
      <c r="GI6" s="102"/>
      <c r="GJ6" s="103"/>
      <c r="GK6" s="104"/>
      <c r="GL6" s="102"/>
      <c r="GM6" s="103"/>
      <c r="GN6" s="104"/>
      <c r="GO6" s="102"/>
      <c r="GP6" s="103"/>
      <c r="GQ6" s="104"/>
      <c r="GR6" s="102"/>
      <c r="GS6" s="103"/>
      <c r="GT6" s="104"/>
      <c r="GU6" s="102"/>
      <c r="GV6" s="103"/>
      <c r="GW6" s="104"/>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03"/>
      <c r="IA6" s="104"/>
      <c r="IB6" s="102"/>
      <c r="IC6" s="103"/>
      <c r="ID6" s="104"/>
      <c r="IE6" s="102"/>
      <c r="IF6" s="103"/>
      <c r="IG6" s="104"/>
      <c r="IH6" s="102"/>
      <c r="II6" s="103"/>
      <c r="IJ6" s="104"/>
      <c r="IK6" s="102"/>
      <c r="IL6" s="103"/>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02"/>
      <c r="JM6" s="105"/>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03"/>
      <c r="OY6" s="104"/>
      <c r="OZ6" s="102"/>
      <c r="PA6" s="103"/>
      <c r="PB6" s="104"/>
      <c r="PC6" s="102"/>
      <c r="PD6" s="103"/>
      <c r="PE6" s="104"/>
      <c r="PF6" s="102"/>
      <c r="PG6" s="103"/>
      <c r="PH6" s="104"/>
      <c r="PI6" s="102"/>
      <c r="PJ6" s="103"/>
      <c r="PK6" s="104"/>
      <c r="PL6" s="102"/>
      <c r="PM6" s="103"/>
      <c r="PN6" s="104"/>
      <c r="PO6" s="102"/>
      <c r="PP6" s="103"/>
      <c r="PQ6" s="104"/>
      <c r="PR6" s="102"/>
      <c r="PS6" s="103"/>
      <c r="PT6" s="104"/>
      <c r="PU6" s="102"/>
      <c r="PV6" s="103"/>
      <c r="PW6" s="104"/>
      <c r="PX6" s="102"/>
      <c r="PY6" s="103"/>
      <c r="PZ6" s="104"/>
      <c r="QA6" s="102"/>
      <c r="QB6" s="103"/>
      <c r="QC6" s="104"/>
      <c r="QD6" s="102"/>
      <c r="QE6" s="103"/>
      <c r="QF6" s="104"/>
      <c r="QG6" s="102"/>
      <c r="QH6" s="103"/>
      <c r="QI6" s="104"/>
      <c r="QJ6" s="102"/>
      <c r="QK6" s="105"/>
      <c r="QL6" s="101"/>
      <c r="QM6" s="102"/>
      <c r="QN6" s="103"/>
      <c r="QO6" s="104"/>
      <c r="QP6" s="102"/>
      <c r="QQ6" s="103"/>
      <c r="QR6" s="104"/>
      <c r="QS6" s="102"/>
      <c r="QT6" s="103"/>
      <c r="QU6" s="104"/>
      <c r="QV6" s="102"/>
      <c r="QW6" s="103"/>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04"/>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06"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07"/>
      <c r="C8" s="107">
        <v>24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04"/>
      <c r="FH8" s="102"/>
      <c r="FI8" s="103"/>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02"/>
      <c r="GY8" s="103"/>
      <c r="GZ8" s="104"/>
      <c r="HA8" s="102"/>
      <c r="HB8" s="103"/>
      <c r="HC8" s="104"/>
      <c r="HD8" s="102"/>
      <c r="HE8" s="103"/>
      <c r="HF8" s="104"/>
      <c r="HG8" s="102"/>
      <c r="HH8" s="103"/>
      <c r="HI8" s="104"/>
      <c r="HJ8" s="102"/>
      <c r="HK8" s="103"/>
      <c r="HL8" s="104"/>
      <c r="HM8" s="102"/>
      <c r="HN8" s="103"/>
      <c r="HO8" s="104"/>
      <c r="HP8" s="102"/>
      <c r="HQ8" s="103"/>
      <c r="HR8" s="104"/>
      <c r="HS8" s="102"/>
      <c r="HT8" s="103"/>
      <c r="HU8" s="104"/>
      <c r="HV8" s="102"/>
      <c r="HW8" s="103"/>
      <c r="HX8" s="104"/>
      <c r="HY8" s="102"/>
      <c r="HZ8" s="103"/>
      <c r="IA8" s="104"/>
      <c r="IB8" s="102"/>
      <c r="IC8" s="103"/>
      <c r="ID8" s="104"/>
      <c r="IE8" s="102"/>
      <c r="IF8" s="103"/>
      <c r="IG8" s="104"/>
      <c r="IH8" s="102"/>
      <c r="II8" s="103"/>
      <c r="IJ8" s="104"/>
      <c r="IK8" s="102"/>
      <c r="IL8" s="103"/>
      <c r="IM8" s="104"/>
      <c r="IN8" s="102"/>
      <c r="IO8" s="103"/>
      <c r="IP8" s="104"/>
      <c r="IQ8" s="102"/>
      <c r="IR8" s="103"/>
      <c r="IS8" s="104"/>
      <c r="IT8" s="102"/>
      <c r="IU8" s="103"/>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04"/>
      <c r="OB8" s="102"/>
      <c r="OC8" s="103"/>
      <c r="OD8" s="104"/>
      <c r="OE8" s="102"/>
      <c r="OF8" s="103"/>
      <c r="OG8" s="104"/>
      <c r="OH8" s="102"/>
      <c r="OI8" s="103"/>
      <c r="OJ8" s="104"/>
      <c r="OK8" s="102"/>
      <c r="OL8" s="103"/>
      <c r="OM8" s="104"/>
      <c r="ON8" s="102"/>
      <c r="OO8" s="103"/>
      <c r="OP8" s="104"/>
      <c r="OQ8" s="102"/>
      <c r="OR8" s="103"/>
      <c r="OS8" s="104"/>
      <c r="OT8" s="102"/>
      <c r="OU8" s="103"/>
      <c r="OV8" s="104"/>
      <c r="OW8" s="102"/>
      <c r="OX8" s="103"/>
      <c r="OY8" s="104"/>
      <c r="OZ8" s="102"/>
      <c r="PA8" s="103"/>
      <c r="PB8" s="104"/>
      <c r="PC8" s="102"/>
      <c r="PD8" s="103"/>
      <c r="PE8" s="104"/>
      <c r="PF8" s="102"/>
      <c r="PG8" s="103"/>
      <c r="PH8" s="104"/>
      <c r="PI8" s="102"/>
      <c r="PJ8" s="103"/>
      <c r="PK8" s="104"/>
      <c r="PL8" s="102"/>
      <c r="PM8" s="103"/>
      <c r="PN8" s="104"/>
      <c r="PO8" s="102"/>
      <c r="PP8" s="103"/>
      <c r="PQ8" s="104"/>
      <c r="PR8" s="102"/>
      <c r="PS8" s="103"/>
      <c r="PT8" s="104"/>
      <c r="PU8" s="102"/>
      <c r="PV8" s="103"/>
      <c r="PW8" s="104"/>
      <c r="PX8" s="102"/>
      <c r="PY8" s="103"/>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04"/>
      <c r="RK8" s="102"/>
      <c r="RL8" s="103"/>
      <c r="RM8" s="104"/>
      <c r="RN8" s="102"/>
      <c r="RO8" s="103"/>
      <c r="RP8" s="104"/>
      <c r="RQ8" s="102"/>
      <c r="RR8" s="103"/>
      <c r="RS8" s="104"/>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06"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07"/>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06"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07"/>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06"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07"/>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06"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07"/>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06"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07"/>
      <c r="C18" s="107">
        <v>4</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03"/>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06"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07"/>
      <c r="C20" s="107">
        <v>9</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04"/>
      <c r="FB20" s="102"/>
      <c r="FC20" s="103"/>
      <c r="FD20" s="104"/>
      <c r="FE20" s="102"/>
      <c r="FF20" s="103"/>
      <c r="FG20" s="104"/>
      <c r="FH20" s="102"/>
      <c r="FI20" s="103"/>
      <c r="FJ20" s="104"/>
      <c r="FK20" s="102"/>
      <c r="FL20" s="103"/>
      <c r="FM20" s="104"/>
      <c r="FN20" s="102"/>
      <c r="FO20" s="103"/>
      <c r="FP20" s="104"/>
      <c r="FQ20" s="102"/>
      <c r="FR20" s="103"/>
      <c r="FS20" s="104"/>
      <c r="FT20" s="102"/>
      <c r="FU20" s="103"/>
      <c r="FV20" s="104"/>
      <c r="FW20" s="102"/>
      <c r="FX20" s="103"/>
      <c r="FY20" s="104"/>
      <c r="FZ20" s="102"/>
      <c r="GA20" s="105"/>
      <c r="GB20" s="101"/>
      <c r="GC20" s="102"/>
      <c r="GD20" s="103"/>
      <c r="GE20" s="104"/>
      <c r="GF20" s="102"/>
      <c r="GG20" s="103"/>
      <c r="GH20" s="104"/>
      <c r="GI20" s="102"/>
      <c r="GJ20" s="103"/>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06"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07"/>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06"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07"/>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06"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07"/>
      <c r="C26" s="107">
        <v>0</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04"/>
      <c r="IB26" s="102"/>
      <c r="IC26" s="103"/>
      <c r="ID26" s="104"/>
      <c r="IE26" s="102"/>
      <c r="IF26" s="103"/>
      <c r="IG26" s="104"/>
      <c r="IH26" s="102"/>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06"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07"/>
      <c r="C28" s="107">
        <v>0</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04"/>
      <c r="GL28" s="102"/>
      <c r="GM28" s="103"/>
      <c r="GN28" s="104"/>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06"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07"/>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06"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07"/>
      <c r="C32" s="107">
        <v>0</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03"/>
      <c r="GT32" s="104"/>
      <c r="GU32" s="102"/>
      <c r="GV32" s="103"/>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02"/>
      <c r="IO32" s="103"/>
      <c r="IP32" s="104"/>
      <c r="IQ32" s="102"/>
      <c r="IR32" s="103"/>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06"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07"/>
      <c r="C34" s="107">
        <v>3</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02"/>
      <c r="GP34" s="103"/>
      <c r="GQ34" s="104"/>
      <c r="GR34" s="102"/>
      <c r="GS34" s="103"/>
      <c r="GT34" s="104"/>
      <c r="GU34" s="102"/>
      <c r="GV34" s="103"/>
      <c r="GW34" s="104"/>
      <c r="GX34" s="102"/>
      <c r="GY34" s="103"/>
      <c r="GZ34" s="104"/>
      <c r="HA34" s="102"/>
      <c r="HB34" s="103"/>
      <c r="HC34" s="104"/>
      <c r="HD34" s="102"/>
      <c r="HE34" s="103"/>
      <c r="HF34" s="104"/>
      <c r="HG34" s="102"/>
      <c r="HH34" s="103"/>
      <c r="HI34" s="104"/>
      <c r="HJ34" s="102"/>
      <c r="HK34" s="103"/>
      <c r="HL34" s="104"/>
      <c r="HM34" s="102"/>
      <c r="HN34" s="103"/>
      <c r="HO34" s="104"/>
      <c r="HP34" s="102"/>
      <c r="HQ34" s="103"/>
      <c r="HR34" s="104"/>
      <c r="HS34" s="102"/>
      <c r="HT34" s="103"/>
      <c r="HU34" s="104"/>
      <c r="HV34" s="102"/>
      <c r="HW34" s="103"/>
      <c r="HX34" s="104"/>
      <c r="HY34" s="102"/>
      <c r="HZ34" s="103"/>
      <c r="IA34" s="104"/>
      <c r="IB34" s="102"/>
      <c r="IC34" s="103"/>
      <c r="ID34" s="104"/>
      <c r="IE34" s="102"/>
      <c r="IF34" s="103"/>
      <c r="IG34" s="104"/>
      <c r="IH34" s="102"/>
      <c r="II34" s="103"/>
      <c r="IJ34" s="104"/>
      <c r="IK34" s="102"/>
      <c r="IL34" s="103"/>
      <c r="IM34" s="104"/>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06"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07"/>
      <c r="C36" s="107">
        <v>18</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04"/>
      <c r="JC36" s="102"/>
      <c r="JD36" s="103"/>
      <c r="JE36" s="104"/>
      <c r="JF36" s="102"/>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06"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07"/>
      <c r="C38" s="107">
        <v>0</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03"/>
      <c r="JH38" s="104"/>
      <c r="JI38" s="102"/>
      <c r="JJ38" s="103"/>
      <c r="JK38" s="104"/>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06"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07"/>
      <c r="C40" s="107">
        <v>20</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04"/>
      <c r="FK40" s="102"/>
      <c r="FL40" s="103"/>
      <c r="FM40" s="104"/>
      <c r="FN40" s="102"/>
      <c r="FO40" s="103"/>
      <c r="FP40" s="104"/>
      <c r="FQ40" s="102"/>
      <c r="FR40" s="103"/>
      <c r="FS40" s="104"/>
      <c r="FT40" s="102"/>
      <c r="FU40" s="103"/>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04"/>
      <c r="IW40" s="102"/>
      <c r="IX40" s="103"/>
      <c r="IY40" s="104"/>
      <c r="IZ40" s="102"/>
      <c r="JA40" s="103"/>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04"/>
      <c r="NY40" s="102"/>
      <c r="NZ40" s="103"/>
      <c r="OA40" s="104"/>
      <c r="OB40" s="102"/>
      <c r="OC40" s="103"/>
      <c r="OD40" s="104"/>
      <c r="OE40" s="102"/>
      <c r="OF40" s="103"/>
      <c r="OG40" s="104"/>
      <c r="OH40" s="102"/>
      <c r="OI40" s="103"/>
      <c r="OJ40" s="104"/>
      <c r="OK40" s="102"/>
      <c r="OL40" s="103"/>
      <c r="OM40" s="104"/>
      <c r="ON40" s="102"/>
      <c r="OO40" s="103"/>
      <c r="OP40" s="104"/>
      <c r="OQ40" s="102"/>
      <c r="OR40" s="103"/>
      <c r="OS40" s="104"/>
      <c r="OT40" s="102"/>
      <c r="OU40" s="103"/>
      <c r="OV40" s="104"/>
      <c r="OW40" s="102"/>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02"/>
      <c r="QB40" s="103"/>
      <c r="QC40" s="104"/>
      <c r="QD40" s="102"/>
      <c r="QE40" s="103"/>
      <c r="QF40" s="104"/>
      <c r="QG40" s="102"/>
      <c r="QH40" s="103"/>
      <c r="QI40" s="104"/>
      <c r="QJ40" s="102"/>
      <c r="QK40" s="105"/>
      <c r="QL40" s="101"/>
      <c r="QM40" s="102"/>
      <c r="QN40" s="103"/>
      <c r="QO40" s="104"/>
      <c r="QP40" s="102"/>
      <c r="QQ40" s="103"/>
      <c r="QR40" s="104"/>
      <c r="QS40" s="102"/>
      <c r="QT40" s="103"/>
      <c r="QU40" s="104"/>
      <c r="QV40" s="102"/>
      <c r="QW40" s="103"/>
      <c r="QX40" s="104"/>
      <c r="QY40" s="102"/>
      <c r="QZ40" s="103"/>
      <c r="RA40" s="104"/>
      <c r="RB40" s="102"/>
      <c r="RC40" s="103"/>
      <c r="RD40" s="104"/>
      <c r="RE40" s="102"/>
      <c r="RF40" s="103"/>
      <c r="RG40" s="104"/>
      <c r="RH40" s="102"/>
      <c r="RI40" s="103"/>
      <c r="RJ40" s="104"/>
      <c r="RK40" s="102"/>
      <c r="RL40" s="103"/>
      <c r="RM40" s="104"/>
      <c r="RN40" s="102"/>
      <c r="RO40" s="103"/>
      <c r="RP40" s="104"/>
      <c r="RQ40" s="102"/>
      <c r="RR40" s="103"/>
      <c r="RS40" s="104"/>
      <c r="RT40" s="102"/>
      <c r="RU40" s="103"/>
      <c r="RV40" s="104"/>
      <c r="RW40" s="102"/>
      <c r="RX40" s="103"/>
      <c r="RY40" s="104"/>
      <c r="RZ40" s="102"/>
      <c r="SA40" s="103"/>
      <c r="SB40" s="104"/>
      <c r="SC40" s="102"/>
      <c r="SD40" s="103"/>
      <c r="SE40" s="104"/>
      <c r="SF40" s="102"/>
      <c r="SG40" s="103"/>
      <c r="SH40" s="104"/>
      <c r="SI40" s="102"/>
      <c r="SJ40" s="103"/>
      <c r="SK40" s="104"/>
      <c r="SL40" s="102"/>
      <c r="SM40" s="103"/>
      <c r="SN40" s="104"/>
      <c r="SO40" s="102"/>
      <c r="SP40" s="103"/>
      <c r="SQ40" s="104"/>
      <c r="SR40" s="102"/>
      <c r="SS40" s="103"/>
      <c r="ST40" s="104"/>
      <c r="SU40" s="102"/>
      <c r="SV40" s="103"/>
      <c r="SW40" s="104"/>
      <c r="SX40" s="102"/>
      <c r="SY40" s="103"/>
      <c r="SZ40" s="104"/>
      <c r="TA40" s="102"/>
      <c r="TB40" s="103"/>
      <c r="TC40" s="104"/>
      <c r="TD40" s="102"/>
      <c r="TE40" s="103"/>
      <c r="TF40" s="104"/>
      <c r="TG40" s="102"/>
      <c r="TH40" s="103"/>
      <c r="TI40" s="104"/>
      <c r="TJ40" s="102"/>
      <c r="TK40" s="103"/>
      <c r="TL40" s="104"/>
      <c r="TM40" s="102"/>
      <c r="TN40" s="103"/>
      <c r="TO40" s="104"/>
      <c r="TP40" s="102"/>
      <c r="TQ40" s="103"/>
      <c r="TR40" s="104"/>
      <c r="TS40" s="102"/>
      <c r="TT40" s="103"/>
      <c r="TU40" s="104"/>
      <c r="TV40" s="102"/>
      <c r="TW40" s="105"/>
      <c r="TX40" s="101"/>
      <c r="TY40" s="102"/>
      <c r="TZ40" s="103"/>
      <c r="UA40" s="104"/>
      <c r="UB40" s="102"/>
      <c r="UC40" s="103"/>
      <c r="UD40" s="104"/>
      <c r="UE40" s="102"/>
      <c r="UF40" s="103"/>
      <c r="UG40" s="104"/>
      <c r="UH40" s="102"/>
      <c r="UI40" s="103"/>
      <c r="UJ40" s="104"/>
      <c r="UK40" s="102"/>
      <c r="UL40" s="103"/>
      <c r="UM40" s="104"/>
      <c r="UN40" s="102"/>
      <c r="UO40" s="103"/>
      <c r="UP40" s="104"/>
      <c r="UQ40" s="102"/>
      <c r="UR40" s="103"/>
      <c r="US40" s="104"/>
      <c r="UT40" s="102"/>
      <c r="UU40" s="103"/>
      <c r="UV40" s="104"/>
      <c r="UW40" s="102"/>
      <c r="UX40" s="103"/>
      <c r="UY40" s="104"/>
      <c r="UZ40" s="102"/>
      <c r="VA40" s="103"/>
      <c r="VB40" s="104"/>
      <c r="VC40" s="102"/>
      <c r="VD40" s="103"/>
      <c r="VE40" s="104"/>
      <c r="VF40" s="102"/>
      <c r="VG40" s="103"/>
      <c r="VH40" s="104"/>
      <c r="VI40" s="102"/>
      <c r="VJ40" s="103"/>
      <c r="VK40" s="104"/>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267</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objects="1" scenarios="1" insertRows="0" selectLockedCells="1"/>
  <mergeCells count="28">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 ref="B25:B26"/>
    <mergeCell ref="B3:B4"/>
    <mergeCell ref="B5:B6"/>
    <mergeCell ref="B7:B8"/>
    <mergeCell ref="B9:B10"/>
    <mergeCell ref="B11:B12"/>
    <mergeCell ref="B13:B14"/>
    <mergeCell ref="B15:B16"/>
    <mergeCell ref="B17:B18"/>
    <mergeCell ref="B19:B20"/>
    <mergeCell ref="B21:B22"/>
    <mergeCell ref="B23:B24"/>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4" t="s">
        <v>20</v>
      </c>
      <c r="C3" s="16">
        <v>0</v>
      </c>
    </row>
    <row r="4" spans="1:4" ht="19.5" customHeight="1" x14ac:dyDescent="0.25">
      <c r="A4" s="19"/>
      <c r="B4" s="215"/>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7"/>
  <sheetViews>
    <sheetView tabSelected="1" view="pageBreakPreview" topLeftCell="A79" zoomScaleNormal="100" zoomScaleSheetLayoutView="100" workbookViewId="0">
      <selection activeCell="A93" sqref="A93"/>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63.75" x14ac:dyDescent="0.25">
      <c r="A56" s="1" t="s">
        <v>94</v>
      </c>
      <c r="B56" s="2">
        <v>8</v>
      </c>
      <c r="C56" s="163" t="s">
        <v>135</v>
      </c>
      <c r="D56" s="175" t="s">
        <v>134</v>
      </c>
      <c r="F56" s="36"/>
      <c r="G56" s="37"/>
      <c r="H56" s="37"/>
    </row>
    <row r="57" spans="1:8" ht="27" x14ac:dyDescent="0.25">
      <c r="A57" s="1" t="s">
        <v>100</v>
      </c>
      <c r="B57" s="2">
        <v>3</v>
      </c>
      <c r="C57" s="163" t="s">
        <v>137</v>
      </c>
      <c r="D57" s="175" t="s">
        <v>136</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139</v>
      </c>
      <c r="D60" s="10"/>
      <c r="F60" s="36"/>
      <c r="G60" s="37"/>
      <c r="H60" s="37"/>
    </row>
    <row r="61" spans="1:8" ht="40.5" x14ac:dyDescent="0.25">
      <c r="A61" s="2" t="s">
        <v>93</v>
      </c>
      <c r="B61" s="2">
        <v>1</v>
      </c>
      <c r="C61" s="163" t="s">
        <v>138</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140</v>
      </c>
      <c r="D63" s="51"/>
      <c r="F63" s="38"/>
      <c r="G63" s="39"/>
      <c r="H63" s="39"/>
    </row>
    <row r="64" spans="1:8" x14ac:dyDescent="0.25">
      <c r="A64" s="50" t="s">
        <v>49</v>
      </c>
      <c r="B64" s="50">
        <v>3</v>
      </c>
      <c r="C64" s="165" t="s">
        <v>141</v>
      </c>
      <c r="D64" s="51"/>
      <c r="F64" s="38"/>
      <c r="G64" s="39"/>
      <c r="H64" s="39"/>
    </row>
    <row r="65" spans="1:8" x14ac:dyDescent="0.25">
      <c r="A65" s="50" t="s">
        <v>49</v>
      </c>
      <c r="B65" s="50">
        <v>1</v>
      </c>
      <c r="C65" s="165" t="s">
        <v>142</v>
      </c>
      <c r="D65" s="51"/>
      <c r="F65" s="38"/>
      <c r="G65" s="39"/>
      <c r="H65" s="39"/>
    </row>
    <row r="66" spans="1:8" ht="40.5" x14ac:dyDescent="0.25">
      <c r="A66" s="50" t="s">
        <v>49</v>
      </c>
      <c r="B66" s="50">
        <v>6</v>
      </c>
      <c r="C66" s="165" t="s">
        <v>143</v>
      </c>
      <c r="D66" s="51"/>
      <c r="F66" s="38"/>
      <c r="G66" s="39"/>
      <c r="H66" s="39"/>
    </row>
    <row r="67" spans="1:8" ht="27" x14ac:dyDescent="0.25">
      <c r="A67" s="50" t="s">
        <v>94</v>
      </c>
      <c r="B67" s="50">
        <v>4</v>
      </c>
      <c r="C67" s="165" t="s">
        <v>145</v>
      </c>
      <c r="D67" s="51"/>
      <c r="F67" s="38"/>
      <c r="G67" s="39"/>
      <c r="H67" s="39"/>
    </row>
    <row r="68" spans="1:8" x14ac:dyDescent="0.25">
      <c r="A68" s="50" t="s">
        <v>20</v>
      </c>
      <c r="B68" s="50">
        <v>1</v>
      </c>
      <c r="C68" s="165" t="s">
        <v>144</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1" t="s">
        <v>150</v>
      </c>
      <c r="D75" s="202" t="s">
        <v>147</v>
      </c>
    </row>
    <row r="76" spans="1:8" ht="54" x14ac:dyDescent="0.25">
      <c r="A76" s="180" t="s">
        <v>98</v>
      </c>
      <c r="B76" s="181">
        <v>4</v>
      </c>
      <c r="C76" s="201" t="s">
        <v>148</v>
      </c>
      <c r="D76" s="203" t="s">
        <v>147</v>
      </c>
    </row>
    <row r="77" spans="1:8" ht="27" x14ac:dyDescent="0.25">
      <c r="A77" s="180" t="s">
        <v>100</v>
      </c>
      <c r="B77" s="181">
        <v>4</v>
      </c>
      <c r="C77" s="201" t="s">
        <v>151</v>
      </c>
      <c r="D77" s="88"/>
    </row>
    <row r="78" spans="1:8" ht="40.5" x14ac:dyDescent="0.25">
      <c r="A78" s="1" t="s">
        <v>99</v>
      </c>
      <c r="B78" s="2">
        <v>4</v>
      </c>
      <c r="C78" s="163" t="s">
        <v>149</v>
      </c>
      <c r="D78" s="175" t="s">
        <v>146</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156</v>
      </c>
      <c r="D82" s="175" t="s">
        <v>152</v>
      </c>
    </row>
    <row r="83" spans="1:4" x14ac:dyDescent="0.25">
      <c r="A83" s="1" t="s">
        <v>90</v>
      </c>
      <c r="B83" s="2">
        <v>4</v>
      </c>
      <c r="C83" s="165" t="s">
        <v>133</v>
      </c>
      <c r="D83" s="175"/>
    </row>
    <row r="84" spans="1:4" x14ac:dyDescent="0.25">
      <c r="A84" s="1" t="s">
        <v>20</v>
      </c>
      <c r="B84" s="2">
        <v>3</v>
      </c>
      <c r="C84" s="163" t="s">
        <v>153</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155</v>
      </c>
      <c r="D87" s="175" t="s">
        <v>154</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x14ac:dyDescent="0.25">
      <c r="A91" s="2"/>
      <c r="B91" s="2"/>
      <c r="C91" s="161"/>
      <c r="D91" s="10"/>
    </row>
    <row r="92" spans="1:4" x14ac:dyDescent="0.25">
      <c r="A92" s="2"/>
      <c r="B92" s="2"/>
      <c r="C92" s="161"/>
      <c r="D92" s="10"/>
    </row>
    <row r="93" spans="1:4" x14ac:dyDescent="0.25">
      <c r="A93" s="50"/>
      <c r="B93" s="50"/>
      <c r="C93" s="164"/>
      <c r="D93" s="51"/>
    </row>
    <row r="94" spans="1:4" x14ac:dyDescent="0.25">
      <c r="A94" s="50"/>
      <c r="B94" s="50"/>
      <c r="C94" s="164"/>
      <c r="D94" s="51"/>
    </row>
    <row r="95" spans="1:4" ht="14.25" thickBot="1" x14ac:dyDescent="0.3">
      <c r="A95" s="3"/>
      <c r="B95" s="3"/>
      <c r="C95" s="168"/>
      <c r="D95" s="11"/>
    </row>
    <row r="96" spans="1:4" ht="14.25" thickBot="1" x14ac:dyDescent="0.3">
      <c r="A96" s="47" t="s">
        <v>21</v>
      </c>
      <c r="B96" s="47">
        <f>SUM(B74:B95)</f>
        <v>63</v>
      </c>
      <c r="C96" s="166" t="s">
        <v>28</v>
      </c>
      <c r="D96" s="48"/>
    </row>
    <row r="97" spans="1:4" ht="15" thickBot="1" x14ac:dyDescent="0.35">
      <c r="A97" s="49"/>
      <c r="B97" s="49"/>
      <c r="C97" s="167"/>
      <c r="D97" s="49"/>
    </row>
    <row r="98" spans="1:4" ht="18.75" thickBot="1" x14ac:dyDescent="0.3">
      <c r="A98" s="42" t="s">
        <v>13</v>
      </c>
      <c r="B98" s="43">
        <v>4</v>
      </c>
      <c r="C98" s="158" t="s">
        <v>22</v>
      </c>
      <c r="D98" s="53">
        <f>$D$72+7</f>
        <v>44970</v>
      </c>
    </row>
    <row r="99" spans="1:4" ht="27.75" thickBot="1" x14ac:dyDescent="0.3">
      <c r="A99" s="45" t="s">
        <v>2</v>
      </c>
      <c r="B99" s="46" t="s">
        <v>14</v>
      </c>
      <c r="C99" s="159" t="s">
        <v>6</v>
      </c>
      <c r="D99" s="45" t="s">
        <v>12</v>
      </c>
    </row>
    <row r="100" spans="1:4" ht="14.25" thickBot="1" x14ac:dyDescent="0.3">
      <c r="A100" s="5" t="s">
        <v>20</v>
      </c>
      <c r="B100" s="4">
        <v>90</v>
      </c>
      <c r="C100" s="169" t="s">
        <v>34</v>
      </c>
      <c r="D100" s="9"/>
    </row>
    <row r="101" spans="1:4" ht="14.25" thickBot="1" x14ac:dyDescent="0.3">
      <c r="A101" s="47" t="s">
        <v>21</v>
      </c>
      <c r="B101" s="47">
        <f>SUM(B100:B100)</f>
        <v>90</v>
      </c>
      <c r="C101" s="166" t="s">
        <v>28</v>
      </c>
      <c r="D101" s="48"/>
    </row>
    <row r="102" spans="1:4" ht="15" thickBot="1" x14ac:dyDescent="0.35">
      <c r="A102" s="49"/>
      <c r="B102" s="49"/>
      <c r="C102" s="167"/>
      <c r="D102" s="49"/>
    </row>
    <row r="103" spans="1:4" ht="18.75" thickBot="1" x14ac:dyDescent="0.3">
      <c r="A103" s="42" t="s">
        <v>13</v>
      </c>
      <c r="B103" s="43">
        <v>5</v>
      </c>
      <c r="C103" s="158" t="s">
        <v>22</v>
      </c>
      <c r="D103" s="53">
        <f>$D$98+7</f>
        <v>44977</v>
      </c>
    </row>
    <row r="104" spans="1:4" ht="27.75" thickBot="1" x14ac:dyDescent="0.3">
      <c r="A104" s="45" t="s">
        <v>2</v>
      </c>
      <c r="B104" s="46" t="s">
        <v>14</v>
      </c>
      <c r="C104" s="159" t="s">
        <v>6</v>
      </c>
      <c r="D104" s="45" t="s">
        <v>12</v>
      </c>
    </row>
    <row r="105" spans="1:4" x14ac:dyDescent="0.25">
      <c r="A105" s="5"/>
      <c r="B105" s="4"/>
      <c r="C105" s="160" t="s">
        <v>30</v>
      </c>
      <c r="D105" s="9"/>
    </row>
    <row r="106" spans="1:4" x14ac:dyDescent="0.25">
      <c r="A106" s="1" t="s">
        <v>20</v>
      </c>
      <c r="B106" s="2">
        <v>24</v>
      </c>
      <c r="C106" s="163" t="s">
        <v>77</v>
      </c>
      <c r="D106" s="10"/>
    </row>
    <row r="107" spans="1:4" x14ac:dyDescent="0.25">
      <c r="A107" s="1"/>
      <c r="B107" s="2"/>
      <c r="C107" s="162" t="s">
        <v>31</v>
      </c>
      <c r="D107" s="10"/>
    </row>
    <row r="108" spans="1:4" x14ac:dyDescent="0.25">
      <c r="A108" s="1"/>
      <c r="B108" s="2"/>
      <c r="C108" s="161"/>
      <c r="D108" s="10"/>
    </row>
    <row r="109" spans="1:4" x14ac:dyDescent="0.25">
      <c r="A109" s="1"/>
      <c r="B109" s="2"/>
      <c r="C109" s="161"/>
      <c r="D109" s="10"/>
    </row>
    <row r="110" spans="1:4" x14ac:dyDescent="0.25">
      <c r="A110" s="1"/>
      <c r="B110" s="2"/>
      <c r="C110" s="162" t="s">
        <v>32</v>
      </c>
      <c r="D110" s="10"/>
    </row>
    <row r="111" spans="1:4" x14ac:dyDescent="0.25">
      <c r="A111" s="1"/>
      <c r="B111" s="2"/>
      <c r="C111" s="161"/>
      <c r="D111" s="10"/>
    </row>
    <row r="112" spans="1:4" x14ac:dyDescent="0.25">
      <c r="A112" s="1"/>
      <c r="B112" s="2"/>
      <c r="C112" s="161"/>
      <c r="D112" s="10"/>
    </row>
    <row r="113" spans="1:4" x14ac:dyDescent="0.25">
      <c r="A113" s="2"/>
      <c r="B113" s="2"/>
      <c r="C113" s="162" t="s">
        <v>33</v>
      </c>
      <c r="D113" s="10"/>
    </row>
    <row r="114" spans="1:4" x14ac:dyDescent="0.25">
      <c r="A114" s="2"/>
      <c r="B114" s="2"/>
      <c r="C114" s="161"/>
      <c r="D114" s="10"/>
    </row>
    <row r="115" spans="1:4" x14ac:dyDescent="0.25">
      <c r="A115" s="2"/>
      <c r="B115" s="2"/>
      <c r="C115" s="161"/>
      <c r="D115" s="10"/>
    </row>
    <row r="116" spans="1:4" x14ac:dyDescent="0.25">
      <c r="A116" s="50"/>
      <c r="B116" s="50"/>
      <c r="C116" s="164"/>
      <c r="D116" s="51"/>
    </row>
    <row r="117" spans="1:4" x14ac:dyDescent="0.25">
      <c r="A117" s="50"/>
      <c r="B117" s="50"/>
      <c r="C117" s="164"/>
      <c r="D117" s="51"/>
    </row>
    <row r="118" spans="1:4" ht="14.25" thickBot="1" x14ac:dyDescent="0.3">
      <c r="A118" s="3"/>
      <c r="B118" s="3"/>
      <c r="C118" s="168"/>
      <c r="D118" s="11"/>
    </row>
    <row r="119" spans="1:4" ht="14.25" thickBot="1" x14ac:dyDescent="0.3">
      <c r="A119" s="47" t="s">
        <v>21</v>
      </c>
      <c r="B119" s="47">
        <f>SUM(B105:B118)</f>
        <v>24</v>
      </c>
      <c r="C119" s="166" t="s">
        <v>28</v>
      </c>
      <c r="D119" s="48"/>
    </row>
    <row r="120" spans="1:4" ht="15" thickBot="1" x14ac:dyDescent="0.35">
      <c r="A120" s="49"/>
      <c r="B120" s="49"/>
      <c r="C120" s="167"/>
      <c r="D120" s="49"/>
    </row>
    <row r="121" spans="1:4" ht="18.75" thickBot="1" x14ac:dyDescent="0.3">
      <c r="A121" s="42" t="s">
        <v>13</v>
      </c>
      <c r="B121" s="43">
        <v>6</v>
      </c>
      <c r="C121" s="158" t="s">
        <v>22</v>
      </c>
      <c r="D121" s="53">
        <f>$D$103+7</f>
        <v>44984</v>
      </c>
    </row>
    <row r="122" spans="1:4" ht="27.75" thickBot="1" x14ac:dyDescent="0.3">
      <c r="A122" s="45" t="s">
        <v>2</v>
      </c>
      <c r="B122" s="46" t="s">
        <v>14</v>
      </c>
      <c r="C122" s="159" t="s">
        <v>6</v>
      </c>
      <c r="D122" s="45" t="s">
        <v>12</v>
      </c>
    </row>
    <row r="123" spans="1:4" x14ac:dyDescent="0.25">
      <c r="A123" s="5"/>
      <c r="B123" s="4"/>
      <c r="C123" s="160" t="s">
        <v>30</v>
      </c>
      <c r="D123" s="9"/>
    </row>
    <row r="124" spans="1:4" x14ac:dyDescent="0.25">
      <c r="A124" s="1"/>
      <c r="B124" s="2"/>
      <c r="C124" s="161"/>
      <c r="D124" s="10"/>
    </row>
    <row r="125" spans="1:4" x14ac:dyDescent="0.25">
      <c r="A125" s="1"/>
      <c r="B125" s="2"/>
      <c r="C125" s="161"/>
      <c r="D125" s="10"/>
    </row>
    <row r="126" spans="1:4" x14ac:dyDescent="0.25">
      <c r="A126" s="1"/>
      <c r="B126" s="2"/>
      <c r="C126" s="162" t="s">
        <v>31</v>
      </c>
      <c r="D126" s="10"/>
    </row>
    <row r="127" spans="1:4" x14ac:dyDescent="0.25">
      <c r="A127" s="1"/>
      <c r="B127" s="2"/>
      <c r="C127" s="161"/>
      <c r="D127" s="10"/>
    </row>
    <row r="128" spans="1:4" x14ac:dyDescent="0.25">
      <c r="A128" s="1"/>
      <c r="B128" s="2"/>
      <c r="C128" s="161"/>
      <c r="D128" s="10"/>
    </row>
    <row r="129" spans="1:4" x14ac:dyDescent="0.25">
      <c r="A129" s="1"/>
      <c r="B129" s="2"/>
      <c r="C129" s="162" t="s">
        <v>32</v>
      </c>
      <c r="D129" s="10"/>
    </row>
    <row r="130" spans="1:4" x14ac:dyDescent="0.25">
      <c r="A130" s="1"/>
      <c r="B130" s="2"/>
      <c r="C130" s="161"/>
      <c r="D130" s="10"/>
    </row>
    <row r="131" spans="1:4" x14ac:dyDescent="0.25">
      <c r="A131" s="1"/>
      <c r="B131" s="2"/>
      <c r="C131" s="161"/>
      <c r="D131" s="10"/>
    </row>
    <row r="132" spans="1:4" x14ac:dyDescent="0.25">
      <c r="A132" s="2"/>
      <c r="B132" s="2"/>
      <c r="C132" s="162" t="s">
        <v>33</v>
      </c>
      <c r="D132" s="10"/>
    </row>
    <row r="133" spans="1:4" x14ac:dyDescent="0.25">
      <c r="A133" s="2"/>
      <c r="B133" s="2"/>
      <c r="C133" s="161"/>
      <c r="D133" s="10"/>
    </row>
    <row r="134" spans="1:4" x14ac:dyDescent="0.25">
      <c r="A134" s="2"/>
      <c r="B134" s="2"/>
      <c r="C134" s="161"/>
      <c r="D134" s="10"/>
    </row>
    <row r="135" spans="1:4" x14ac:dyDescent="0.25">
      <c r="A135" s="50"/>
      <c r="B135" s="50"/>
      <c r="C135" s="164"/>
      <c r="D135" s="51"/>
    </row>
    <row r="136" spans="1:4" x14ac:dyDescent="0.25">
      <c r="A136" s="50"/>
      <c r="B136" s="50"/>
      <c r="C136" s="164"/>
      <c r="D136" s="51"/>
    </row>
    <row r="137" spans="1:4" ht="14.25" thickBot="1" x14ac:dyDescent="0.3">
      <c r="A137" s="3"/>
      <c r="B137" s="3"/>
      <c r="C137" s="168"/>
      <c r="D137" s="11"/>
    </row>
    <row r="138" spans="1:4" ht="14.25" thickBot="1" x14ac:dyDescent="0.3">
      <c r="A138" s="47" t="s">
        <v>21</v>
      </c>
      <c r="B138" s="47">
        <f>SUM(B123:B137)</f>
        <v>0</v>
      </c>
      <c r="C138" s="166" t="s">
        <v>28</v>
      </c>
      <c r="D138" s="48"/>
    </row>
    <row r="139" spans="1:4" ht="15" thickBot="1" x14ac:dyDescent="0.35">
      <c r="A139" s="49"/>
      <c r="B139" s="49"/>
      <c r="C139" s="167"/>
      <c r="D139" s="49"/>
    </row>
    <row r="140" spans="1:4" ht="18.75" thickBot="1" x14ac:dyDescent="0.3">
      <c r="A140" s="42" t="s">
        <v>13</v>
      </c>
      <c r="B140" s="43">
        <v>7</v>
      </c>
      <c r="C140" s="158" t="s">
        <v>22</v>
      </c>
      <c r="D140" s="53">
        <f>$D$121+7</f>
        <v>44991</v>
      </c>
    </row>
    <row r="141" spans="1:4" ht="27.75" thickBot="1" x14ac:dyDescent="0.3">
      <c r="A141" s="45" t="s">
        <v>2</v>
      </c>
      <c r="B141" s="46" t="s">
        <v>14</v>
      </c>
      <c r="C141" s="159" t="s">
        <v>6</v>
      </c>
      <c r="D141" s="45" t="s">
        <v>12</v>
      </c>
    </row>
    <row r="142" spans="1:4" x14ac:dyDescent="0.25">
      <c r="A142" s="5"/>
      <c r="B142" s="4"/>
      <c r="C142" s="160" t="s">
        <v>30</v>
      </c>
      <c r="D142" s="9"/>
    </row>
    <row r="143" spans="1:4" x14ac:dyDescent="0.25">
      <c r="A143" s="1"/>
      <c r="B143" s="2"/>
      <c r="C143" s="161"/>
      <c r="D143" s="10"/>
    </row>
    <row r="144" spans="1:4" x14ac:dyDescent="0.25">
      <c r="A144" s="1"/>
      <c r="B144" s="2"/>
      <c r="C144" s="161"/>
      <c r="D144" s="10"/>
    </row>
    <row r="145" spans="1:4" x14ac:dyDescent="0.25">
      <c r="A145" s="1"/>
      <c r="B145" s="2"/>
      <c r="C145" s="162" t="s">
        <v>31</v>
      </c>
      <c r="D145" s="10"/>
    </row>
    <row r="146" spans="1:4" x14ac:dyDescent="0.25">
      <c r="A146" s="1"/>
      <c r="B146" s="2"/>
      <c r="C146" s="161"/>
      <c r="D146" s="10"/>
    </row>
    <row r="147" spans="1:4" x14ac:dyDescent="0.25">
      <c r="A147" s="1"/>
      <c r="B147" s="2"/>
      <c r="C147" s="161"/>
      <c r="D147" s="10"/>
    </row>
    <row r="148" spans="1:4" x14ac:dyDescent="0.25">
      <c r="A148" s="1"/>
      <c r="B148" s="2"/>
      <c r="C148" s="162" t="s">
        <v>32</v>
      </c>
      <c r="D148" s="10"/>
    </row>
    <row r="149" spans="1:4" x14ac:dyDescent="0.25">
      <c r="A149" s="1"/>
      <c r="B149" s="2"/>
      <c r="C149" s="161"/>
      <c r="D149" s="10"/>
    </row>
    <row r="150" spans="1:4" x14ac:dyDescent="0.25">
      <c r="A150" s="1"/>
      <c r="B150" s="2"/>
      <c r="C150" s="161"/>
      <c r="D150" s="10"/>
    </row>
    <row r="151" spans="1:4" x14ac:dyDescent="0.25">
      <c r="A151" s="2"/>
      <c r="B151" s="2"/>
      <c r="C151" s="162" t="s">
        <v>33</v>
      </c>
      <c r="D151" s="10"/>
    </row>
    <row r="152" spans="1:4" x14ac:dyDescent="0.25">
      <c r="A152" s="2"/>
      <c r="B152" s="2"/>
      <c r="C152" s="161"/>
      <c r="D152" s="10"/>
    </row>
    <row r="153" spans="1:4" x14ac:dyDescent="0.25">
      <c r="A153" s="2"/>
      <c r="B153" s="2"/>
      <c r="C153" s="161"/>
      <c r="D153" s="10"/>
    </row>
    <row r="154" spans="1:4" x14ac:dyDescent="0.25">
      <c r="A154" s="50"/>
      <c r="B154" s="50"/>
      <c r="C154" s="164"/>
      <c r="D154" s="51"/>
    </row>
    <row r="155" spans="1:4" x14ac:dyDescent="0.25">
      <c r="A155" s="50"/>
      <c r="B155" s="50"/>
      <c r="C155" s="164"/>
      <c r="D155" s="51"/>
    </row>
    <row r="156" spans="1:4" ht="14.25" thickBot="1" x14ac:dyDescent="0.3">
      <c r="A156" s="3"/>
      <c r="B156" s="3"/>
      <c r="C156" s="168"/>
      <c r="D156" s="11"/>
    </row>
    <row r="157" spans="1:4" ht="14.25" thickBot="1" x14ac:dyDescent="0.3">
      <c r="A157" s="47" t="s">
        <v>21</v>
      </c>
      <c r="B157" s="47">
        <f>SUM(B142:B156)</f>
        <v>0</v>
      </c>
      <c r="C157" s="166" t="s">
        <v>28</v>
      </c>
      <c r="D157" s="48"/>
    </row>
    <row r="158" spans="1:4" ht="15" thickBot="1" x14ac:dyDescent="0.35">
      <c r="A158" s="49"/>
      <c r="B158" s="49"/>
      <c r="C158" s="167"/>
      <c r="D158" s="49"/>
    </row>
    <row r="159" spans="1:4" ht="18.75" thickBot="1" x14ac:dyDescent="0.3">
      <c r="A159" s="42" t="s">
        <v>13</v>
      </c>
      <c r="B159" s="43">
        <v>8</v>
      </c>
      <c r="C159" s="158" t="s">
        <v>22</v>
      </c>
      <c r="D159" s="53">
        <f>$D$140+7</f>
        <v>44998</v>
      </c>
    </row>
    <row r="160" spans="1:4" ht="27.75" thickBot="1" x14ac:dyDescent="0.3">
      <c r="A160" s="45" t="s">
        <v>2</v>
      </c>
      <c r="B160" s="46" t="s">
        <v>14</v>
      </c>
      <c r="C160" s="159" t="s">
        <v>6</v>
      </c>
      <c r="D160" s="45" t="s">
        <v>12</v>
      </c>
    </row>
    <row r="161" spans="1:4" x14ac:dyDescent="0.25">
      <c r="A161" s="5"/>
      <c r="B161" s="4"/>
      <c r="C161" s="160" t="s">
        <v>30</v>
      </c>
      <c r="D161" s="9"/>
    </row>
    <row r="162" spans="1:4" x14ac:dyDescent="0.25">
      <c r="A162" s="1"/>
      <c r="B162" s="2"/>
      <c r="C162" s="161"/>
      <c r="D162" s="10"/>
    </row>
    <row r="163" spans="1:4" x14ac:dyDescent="0.25">
      <c r="A163" s="1"/>
      <c r="B163" s="2"/>
      <c r="C163" s="161"/>
      <c r="D163" s="10"/>
    </row>
    <row r="164" spans="1:4" x14ac:dyDescent="0.25">
      <c r="A164" s="1"/>
      <c r="B164" s="2"/>
      <c r="C164" s="162" t="s">
        <v>31</v>
      </c>
      <c r="D164" s="10"/>
    </row>
    <row r="165" spans="1:4" x14ac:dyDescent="0.25">
      <c r="A165" s="1"/>
      <c r="B165" s="2"/>
      <c r="C165" s="161"/>
      <c r="D165" s="10"/>
    </row>
    <row r="166" spans="1:4" x14ac:dyDescent="0.25">
      <c r="A166" s="1"/>
      <c r="B166" s="2"/>
      <c r="C166" s="161"/>
      <c r="D166" s="10"/>
    </row>
    <row r="167" spans="1:4" x14ac:dyDescent="0.25">
      <c r="A167" s="1"/>
      <c r="B167" s="2"/>
      <c r="C167" s="162" t="s">
        <v>32</v>
      </c>
      <c r="D167" s="10"/>
    </row>
    <row r="168" spans="1:4" x14ac:dyDescent="0.25">
      <c r="A168" s="1"/>
      <c r="B168" s="2"/>
      <c r="C168" s="161"/>
      <c r="D168" s="10"/>
    </row>
    <row r="169" spans="1:4" x14ac:dyDescent="0.25">
      <c r="A169" s="1"/>
      <c r="B169" s="2"/>
      <c r="C169" s="161"/>
      <c r="D169" s="10"/>
    </row>
    <row r="170" spans="1:4" x14ac:dyDescent="0.25">
      <c r="A170" s="2"/>
      <c r="B170" s="2"/>
      <c r="C170" s="162" t="s">
        <v>33</v>
      </c>
      <c r="D170" s="10"/>
    </row>
    <row r="171" spans="1:4" x14ac:dyDescent="0.25">
      <c r="A171" s="2"/>
      <c r="B171" s="2"/>
      <c r="C171" s="161"/>
      <c r="D171" s="10"/>
    </row>
    <row r="172" spans="1:4" x14ac:dyDescent="0.25">
      <c r="A172" s="2"/>
      <c r="B172" s="2"/>
      <c r="C172" s="161"/>
      <c r="D172" s="10"/>
    </row>
    <row r="173" spans="1:4" x14ac:dyDescent="0.25">
      <c r="A173" s="50"/>
      <c r="B173" s="50"/>
      <c r="C173" s="164"/>
      <c r="D173" s="51"/>
    </row>
    <row r="174" spans="1:4" x14ac:dyDescent="0.25">
      <c r="A174" s="50"/>
      <c r="B174" s="50"/>
      <c r="C174" s="164"/>
      <c r="D174" s="51"/>
    </row>
    <row r="175" spans="1:4" ht="14.25" thickBot="1" x14ac:dyDescent="0.3">
      <c r="A175" s="3"/>
      <c r="B175" s="3"/>
      <c r="C175" s="168"/>
      <c r="D175" s="11"/>
    </row>
    <row r="176" spans="1:4" ht="14.25" thickBot="1" x14ac:dyDescent="0.3">
      <c r="A176" s="47" t="s">
        <v>21</v>
      </c>
      <c r="B176" s="47">
        <f>SUM(B161:B175)</f>
        <v>0</v>
      </c>
      <c r="C176" s="166" t="s">
        <v>28</v>
      </c>
      <c r="D176" s="48"/>
    </row>
    <row r="177" spans="1:4" ht="15" thickBot="1" x14ac:dyDescent="0.35">
      <c r="A177" s="49"/>
      <c r="B177" s="49"/>
      <c r="C177" s="167"/>
      <c r="D177" s="49"/>
    </row>
    <row r="178" spans="1:4" ht="18.75" thickBot="1" x14ac:dyDescent="0.3">
      <c r="A178" s="42" t="s">
        <v>13</v>
      </c>
      <c r="B178" s="43">
        <v>9</v>
      </c>
      <c r="C178" s="158" t="s">
        <v>22</v>
      </c>
      <c r="D178" s="53">
        <f>$D$159+7</f>
        <v>45005</v>
      </c>
    </row>
    <row r="179" spans="1:4" ht="27.75" thickBot="1" x14ac:dyDescent="0.3">
      <c r="A179" s="45" t="s">
        <v>2</v>
      </c>
      <c r="B179" s="46" t="s">
        <v>14</v>
      </c>
      <c r="C179" s="159" t="s">
        <v>6</v>
      </c>
      <c r="D179" s="45" t="s">
        <v>12</v>
      </c>
    </row>
    <row r="180" spans="1:4" x14ac:dyDescent="0.25">
      <c r="A180" s="5"/>
      <c r="B180" s="4"/>
      <c r="C180" s="160" t="s">
        <v>30</v>
      </c>
      <c r="D180" s="9"/>
    </row>
    <row r="181" spans="1:4" x14ac:dyDescent="0.25">
      <c r="A181" s="1"/>
      <c r="B181" s="2"/>
      <c r="C181" s="161"/>
      <c r="D181" s="10"/>
    </row>
    <row r="182" spans="1:4" x14ac:dyDescent="0.25">
      <c r="A182" s="1"/>
      <c r="B182" s="2"/>
      <c r="C182" s="161"/>
      <c r="D182" s="10"/>
    </row>
    <row r="183" spans="1:4" x14ac:dyDescent="0.25">
      <c r="A183" s="1"/>
      <c r="B183" s="2"/>
      <c r="C183" s="162" t="s">
        <v>31</v>
      </c>
      <c r="D183" s="10"/>
    </row>
    <row r="184" spans="1:4" x14ac:dyDescent="0.25">
      <c r="A184" s="1"/>
      <c r="B184" s="2"/>
      <c r="C184" s="161"/>
      <c r="D184" s="10"/>
    </row>
    <row r="185" spans="1:4" x14ac:dyDescent="0.25">
      <c r="A185" s="1"/>
      <c r="B185" s="2"/>
      <c r="C185" s="161"/>
      <c r="D185" s="10"/>
    </row>
    <row r="186" spans="1:4" x14ac:dyDescent="0.25">
      <c r="A186" s="1"/>
      <c r="B186" s="2"/>
      <c r="C186" s="162" t="s">
        <v>32</v>
      </c>
      <c r="D186" s="10"/>
    </row>
    <row r="187" spans="1:4" x14ac:dyDescent="0.25">
      <c r="A187" s="1"/>
      <c r="B187" s="2"/>
      <c r="C187" s="161"/>
      <c r="D187" s="10"/>
    </row>
    <row r="188" spans="1:4" x14ac:dyDescent="0.25">
      <c r="A188" s="1"/>
      <c r="B188" s="2"/>
      <c r="C188" s="161"/>
      <c r="D188" s="10"/>
    </row>
    <row r="189" spans="1:4" x14ac:dyDescent="0.25">
      <c r="A189" s="2"/>
      <c r="B189" s="2"/>
      <c r="C189" s="162" t="s">
        <v>33</v>
      </c>
      <c r="D189" s="10"/>
    </row>
    <row r="190" spans="1:4" x14ac:dyDescent="0.25">
      <c r="A190" s="2"/>
      <c r="B190" s="2"/>
      <c r="C190" s="161"/>
      <c r="D190" s="10"/>
    </row>
    <row r="191" spans="1:4" x14ac:dyDescent="0.25">
      <c r="A191" s="2"/>
      <c r="B191" s="2"/>
      <c r="C191" s="161"/>
      <c r="D191" s="10"/>
    </row>
    <row r="192" spans="1:4" x14ac:dyDescent="0.25">
      <c r="A192" s="50"/>
      <c r="B192" s="50"/>
      <c r="C192" s="164"/>
      <c r="D192" s="51"/>
    </row>
    <row r="193" spans="1:4" x14ac:dyDescent="0.25">
      <c r="A193" s="50"/>
      <c r="B193" s="50"/>
      <c r="C193" s="164"/>
      <c r="D193" s="51"/>
    </row>
    <row r="194" spans="1:4" ht="14.25" thickBot="1" x14ac:dyDescent="0.3">
      <c r="A194" s="3"/>
      <c r="B194" s="3"/>
      <c r="C194" s="168"/>
      <c r="D194" s="11"/>
    </row>
    <row r="195" spans="1:4" ht="14.25" thickBot="1" x14ac:dyDescent="0.3">
      <c r="A195" s="47" t="s">
        <v>21</v>
      </c>
      <c r="B195" s="47">
        <f>SUM(B180:B194)</f>
        <v>0</v>
      </c>
      <c r="C195" s="166" t="s">
        <v>28</v>
      </c>
      <c r="D195" s="48"/>
    </row>
    <row r="196" spans="1:4" ht="14.25" x14ac:dyDescent="0.3">
      <c r="A196" s="49"/>
      <c r="B196" s="49"/>
      <c r="C196" s="167"/>
      <c r="D196" s="49"/>
    </row>
    <row r="197" spans="1:4" x14ac:dyDescent="0.25">
      <c r="A197"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23:B137 B142:B156 B161:B175 B180:B194 B100 B40:B69 F54:F62 B3:B35 B105:B118 B74:B95"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6 B101 B119 B138 B157 B176 B195" xr:uid="{EACDBB53-AF42-441D-8FB7-12197BB4F1D8}">
      <formula1>0</formula1>
      <formula2>NbPerWeek * NbQuartPer</formula2>
    </dataValidation>
    <dataValidation type="list" allowBlank="1" showInputMessage="1" showErrorMessage="1" sqref="A123:A137 A142:A156 A161:A175 A180:A194 A100 A40:A69 A3:A35 A105:A118 A74:A95"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s>
  <pageMargins left="0.23622047244094488" right="0.23622047244094488" top="0.74803149606299213" bottom="0.74803149606299213" header="0.31496062992125984" footer="0.31496062992125984"/>
  <pageSetup paperSize="9" scale="20" fitToWidth="0" orientation="portrait" r:id="rId14"/>
  <drawing r:id="rId15"/>
  <legacyDrawing r:id="rId16"/>
  <controls>
    <mc:AlternateContent xmlns:mc="http://schemas.openxmlformats.org/markup-compatibility/2006">
      <mc:Choice Requires="x14">
        <control shapeId="40961"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0961" r:id="rId17"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63" workbookViewId="0">
      <selection activeCell="A68" sqref="A68"/>
    </sheetView>
  </sheetViews>
  <sheetFormatPr baseColWidth="10" defaultColWidth="11.42578125" defaultRowHeight="13.5" x14ac:dyDescent="0.25"/>
  <cols>
    <col min="1" max="1" width="21.42578125" style="20" customWidth="1"/>
    <col min="2" max="2" width="8.5703125" style="20" customWidth="1"/>
    <col min="3" max="3" width="87" style="198"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4" t="s">
        <v>28</v>
      </c>
      <c r="D24" s="13"/>
    </row>
    <row r="25" spans="1:4" ht="15" thickBot="1" x14ac:dyDescent="0.35">
      <c r="A25" s="14"/>
      <c r="B25" s="14"/>
      <c r="C25" s="195"/>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6"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9"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4" t="s">
        <v>28</v>
      </c>
      <c r="D51" s="13"/>
      <c r="F51" s="36"/>
      <c r="G51" s="37"/>
      <c r="H51" s="37"/>
    </row>
    <row r="52" spans="1:8" ht="15" thickBot="1" x14ac:dyDescent="0.35">
      <c r="A52" s="14"/>
      <c r="B52" s="14"/>
      <c r="C52" s="195"/>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9" t="s">
        <v>115</v>
      </c>
      <c r="D58" s="10"/>
    </row>
    <row r="59" spans="1:8" ht="27" x14ac:dyDescent="0.25">
      <c r="A59" s="186" t="s">
        <v>96</v>
      </c>
      <c r="B59" s="177">
        <v>7</v>
      </c>
      <c r="C59" s="199"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9"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9" t="s">
        <v>119</v>
      </c>
      <c r="D72" s="179"/>
      <c r="F72" s="36"/>
      <c r="G72" s="37"/>
      <c r="H72" s="37"/>
    </row>
    <row r="73" spans="1:8" ht="41.25" thickBot="1" x14ac:dyDescent="0.3">
      <c r="A73" s="186" t="s">
        <v>47</v>
      </c>
      <c r="B73" s="177">
        <v>10</v>
      </c>
      <c r="C73" s="199" t="s">
        <v>120</v>
      </c>
      <c r="D73" s="179"/>
      <c r="F73" s="36"/>
      <c r="G73" s="37"/>
      <c r="H73" s="37"/>
    </row>
    <row r="74" spans="1:8" ht="14.25" thickBot="1" x14ac:dyDescent="0.3">
      <c r="A74" s="12" t="s">
        <v>21</v>
      </c>
      <c r="B74" s="12">
        <f>SUM(B55:B73)</f>
        <v>90</v>
      </c>
      <c r="C74" s="194" t="s">
        <v>28</v>
      </c>
      <c r="D74" s="13"/>
    </row>
    <row r="75" spans="1:8" ht="15" thickBot="1" x14ac:dyDescent="0.35">
      <c r="A75" s="14"/>
      <c r="B75" s="14"/>
      <c r="C75" s="195"/>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7" t="s">
        <v>34</v>
      </c>
      <c r="D78" s="9"/>
    </row>
    <row r="79" spans="1:8" ht="14.25" thickBot="1" x14ac:dyDescent="0.3">
      <c r="A79" s="12" t="s">
        <v>21</v>
      </c>
      <c r="B79" s="12">
        <f>SUM(B78:B78)</f>
        <v>90</v>
      </c>
      <c r="C79" s="194" t="s">
        <v>28</v>
      </c>
      <c r="D79" s="13"/>
    </row>
    <row r="80" spans="1:8" ht="15" thickBot="1" x14ac:dyDescent="0.35">
      <c r="A80" s="14"/>
      <c r="B80" s="14"/>
      <c r="C80" s="195"/>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200">
        <v>4</v>
      </c>
      <c r="C86" s="199"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4" t="s">
        <v>28</v>
      </c>
      <c r="D102" s="13"/>
    </row>
    <row r="103" spans="1:8" ht="15" thickBot="1" x14ac:dyDescent="0.35">
      <c r="A103" s="14"/>
      <c r="B103" s="14"/>
      <c r="C103" s="195"/>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4" t="s">
        <v>28</v>
      </c>
      <c r="D122" s="13"/>
    </row>
    <row r="123" spans="1:8" ht="15" thickBot="1" x14ac:dyDescent="0.35">
      <c r="A123" s="14"/>
      <c r="B123" s="14"/>
      <c r="C123" s="195"/>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4" t="s">
        <v>28</v>
      </c>
      <c r="D142" s="13"/>
    </row>
    <row r="143" spans="1:8" ht="15" thickBot="1" x14ac:dyDescent="0.35">
      <c r="A143" s="14"/>
      <c r="B143" s="14"/>
      <c r="C143" s="195"/>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4" t="s">
        <v>28</v>
      </c>
      <c r="D162" s="13"/>
    </row>
    <row r="163" spans="1:8" ht="15" thickBot="1" x14ac:dyDescent="0.35">
      <c r="A163" s="14"/>
      <c r="B163" s="14"/>
      <c r="C163" s="195"/>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4" t="s">
        <v>28</v>
      </c>
      <c r="D182" s="13"/>
    </row>
    <row r="183" spans="1:8" ht="14.25" x14ac:dyDescent="0.3">
      <c r="A183" s="14"/>
      <c r="B183" s="14"/>
      <c r="C183" s="195"/>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17">
        <v>44949</v>
      </c>
      <c r="D2" s="217"/>
      <c r="E2" s="217"/>
      <c r="F2" s="217"/>
      <c r="G2" s="217">
        <f>C2+7</f>
        <v>44956</v>
      </c>
      <c r="H2" s="217"/>
      <c r="I2" s="217"/>
      <c r="J2" s="217"/>
      <c r="K2" s="217">
        <f>G2+7</f>
        <v>44963</v>
      </c>
      <c r="L2" s="217"/>
      <c r="M2" s="217"/>
      <c r="N2" s="217"/>
      <c r="O2" s="217">
        <f>K2+7</f>
        <v>44970</v>
      </c>
      <c r="P2" s="217"/>
      <c r="Q2" s="217"/>
      <c r="R2" s="217"/>
      <c r="S2" s="217">
        <f>O2+7</f>
        <v>44977</v>
      </c>
      <c r="T2" s="217"/>
      <c r="U2" s="217"/>
      <c r="V2" s="217"/>
      <c r="W2" s="217">
        <f>S2+7</f>
        <v>44984</v>
      </c>
      <c r="X2" s="217"/>
      <c r="Y2" s="217"/>
      <c r="Z2" s="217"/>
      <c r="AA2" s="217">
        <f>W2+7</f>
        <v>44991</v>
      </c>
      <c r="AB2" s="217"/>
      <c r="AC2" s="217"/>
      <c r="AD2" s="217"/>
      <c r="AE2" s="217">
        <f>AA2+7</f>
        <v>44998</v>
      </c>
      <c r="AF2" s="217"/>
      <c r="AG2" s="217"/>
      <c r="AH2" s="217"/>
      <c r="AI2" s="217">
        <f>AE2+7</f>
        <v>45005</v>
      </c>
      <c r="AJ2" s="217"/>
      <c r="AK2" s="217"/>
      <c r="AL2" s="217"/>
    </row>
    <row r="3" spans="1:43" ht="14.25" thickBot="1" x14ac:dyDescent="0.3">
      <c r="C3" s="216" t="s">
        <v>61</v>
      </c>
      <c r="D3" s="216"/>
      <c r="E3" s="216"/>
      <c r="F3" s="216"/>
      <c r="G3" s="216" t="s">
        <v>62</v>
      </c>
      <c r="H3" s="216"/>
      <c r="I3" s="216"/>
      <c r="J3" s="216"/>
      <c r="K3" s="216" t="s">
        <v>63</v>
      </c>
      <c r="L3" s="216"/>
      <c r="M3" s="216"/>
      <c r="N3" s="216"/>
      <c r="O3" s="216" t="s">
        <v>64</v>
      </c>
      <c r="P3" s="216"/>
      <c r="Q3" s="216"/>
      <c r="R3" s="216"/>
      <c r="S3" s="216" t="s">
        <v>65</v>
      </c>
      <c r="T3" s="216"/>
      <c r="U3" s="216"/>
      <c r="V3" s="216"/>
      <c r="W3" s="216" t="s">
        <v>66</v>
      </c>
      <c r="X3" s="216"/>
      <c r="Y3" s="216"/>
      <c r="Z3" s="216"/>
      <c r="AA3" s="216" t="s">
        <v>67</v>
      </c>
      <c r="AB3" s="216"/>
      <c r="AC3" s="216"/>
      <c r="AD3" s="216"/>
      <c r="AE3" s="216" t="s">
        <v>68</v>
      </c>
      <c r="AF3" s="216"/>
      <c r="AG3" s="216"/>
      <c r="AH3" s="216"/>
      <c r="AI3" s="216" t="s">
        <v>69</v>
      </c>
      <c r="AJ3" s="216"/>
      <c r="AK3" s="216"/>
      <c r="AL3" s="216"/>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18" t="s">
        <v>70</v>
      </c>
      <c r="AP7" s="218"/>
      <c r="AQ7" s="218"/>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18" t="s">
        <v>34</v>
      </c>
      <c r="AP8" s="218"/>
      <c r="AQ8" s="218"/>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AO7:AQ7"/>
    <mergeCell ref="AO8:AQ8"/>
    <mergeCell ref="AA2:AD2"/>
    <mergeCell ref="AA3:AD3"/>
    <mergeCell ref="AE2:AH2"/>
    <mergeCell ref="AE3:AH3"/>
    <mergeCell ref="AI2:AL2"/>
    <mergeCell ref="AI3:AL3"/>
    <mergeCell ref="O2:R2"/>
    <mergeCell ref="O3:R3"/>
    <mergeCell ref="S2:V2"/>
    <mergeCell ref="S3:V3"/>
    <mergeCell ref="W2:Z2"/>
    <mergeCell ref="W3:Z3"/>
    <mergeCell ref="C3:F3"/>
    <mergeCell ref="C2:F2"/>
    <mergeCell ref="G2:J2"/>
    <mergeCell ref="G3:J3"/>
    <mergeCell ref="K2:N2"/>
    <mergeCell ref="K3:N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D184"/>
  <sheetViews>
    <sheetView topLeftCell="A19" workbookViewId="0">
      <selection activeCell="C56" sqref="C56"/>
    </sheetView>
  </sheetViews>
  <sheetFormatPr baseColWidth="10" defaultRowHeight="13.5" x14ac:dyDescent="0.25"/>
  <cols>
    <col min="1" max="1" width="24.7109375" customWidth="1"/>
    <col min="2" max="2" width="6.85546875" bestFit="1" customWidth="1"/>
    <col min="3" max="3" width="73.7109375" customWidth="1"/>
    <col min="4" max="4" width="22.85546875" bestFit="1" customWidth="1"/>
  </cols>
  <sheetData>
    <row r="1" spans="1:4" ht="18.75" thickBot="1" x14ac:dyDescent="0.3">
      <c r="A1" s="6" t="s">
        <v>13</v>
      </c>
      <c r="B1" s="7">
        <v>1</v>
      </c>
      <c r="C1" s="187"/>
      <c r="D1" s="84"/>
    </row>
    <row r="2" spans="1:4" ht="27.75" thickBot="1" x14ac:dyDescent="0.3">
      <c r="A2" s="8" t="s">
        <v>2</v>
      </c>
      <c r="B2" s="18" t="s">
        <v>14</v>
      </c>
      <c r="C2" s="188" t="s">
        <v>6</v>
      </c>
      <c r="D2" s="8" t="s">
        <v>12</v>
      </c>
    </row>
    <row r="3" spans="1:4" x14ac:dyDescent="0.25">
      <c r="A3" s="5"/>
      <c r="B3" s="4"/>
      <c r="C3" s="189" t="s">
        <v>30</v>
      </c>
      <c r="D3" s="9"/>
    </row>
    <row r="4" spans="1:4" x14ac:dyDescent="0.25">
      <c r="A4" s="1" t="s">
        <v>20</v>
      </c>
      <c r="B4" s="2">
        <v>12</v>
      </c>
      <c r="C4" s="190" t="s">
        <v>35</v>
      </c>
      <c r="D4" s="88"/>
    </row>
    <row r="5" spans="1:4" x14ac:dyDescent="0.25">
      <c r="A5" s="1" t="s">
        <v>20</v>
      </c>
      <c r="B5" s="2">
        <v>1</v>
      </c>
      <c r="C5" s="190" t="s">
        <v>36</v>
      </c>
      <c r="D5" s="88"/>
    </row>
    <row r="6" spans="1:4" x14ac:dyDescent="0.25">
      <c r="A6" s="1" t="s">
        <v>20</v>
      </c>
      <c r="B6" s="2">
        <v>1</v>
      </c>
      <c r="C6" s="190" t="s">
        <v>37</v>
      </c>
      <c r="D6" s="88"/>
    </row>
    <row r="7" spans="1:4" ht="27" x14ac:dyDescent="0.25">
      <c r="A7" s="1" t="s">
        <v>43</v>
      </c>
      <c r="B7" s="2">
        <v>1</v>
      </c>
      <c r="C7" s="190" t="s">
        <v>38</v>
      </c>
      <c r="D7" s="88"/>
    </row>
    <row r="8" spans="1:4" ht="27" x14ac:dyDescent="0.25">
      <c r="A8" s="1" t="s">
        <v>43</v>
      </c>
      <c r="B8" s="2">
        <v>3</v>
      </c>
      <c r="C8" s="190" t="s">
        <v>40</v>
      </c>
      <c r="D8" s="88"/>
    </row>
    <row r="9" spans="1:4" x14ac:dyDescent="0.25">
      <c r="A9" s="1" t="s">
        <v>42</v>
      </c>
      <c r="B9" s="2">
        <v>1</v>
      </c>
      <c r="C9" s="190" t="s">
        <v>39</v>
      </c>
      <c r="D9" s="10"/>
    </row>
    <row r="10" spans="1:4" ht="27" x14ac:dyDescent="0.25">
      <c r="A10" s="1" t="s">
        <v>47</v>
      </c>
      <c r="B10" s="2">
        <v>5</v>
      </c>
      <c r="C10" s="190" t="s">
        <v>41</v>
      </c>
      <c r="D10" s="10"/>
    </row>
    <row r="11" spans="1:4" x14ac:dyDescent="0.25">
      <c r="A11" s="1"/>
      <c r="B11" s="2"/>
      <c r="C11" s="191" t="s">
        <v>31</v>
      </c>
      <c r="D11" s="10"/>
    </row>
    <row r="12" spans="1:4" x14ac:dyDescent="0.25">
      <c r="A12" s="1" t="s">
        <v>49</v>
      </c>
      <c r="B12" s="2">
        <v>1</v>
      </c>
      <c r="C12" s="192" t="s">
        <v>51</v>
      </c>
      <c r="D12" s="10"/>
    </row>
    <row r="13" spans="1:4" x14ac:dyDescent="0.25">
      <c r="A13" s="1" t="s">
        <v>49</v>
      </c>
      <c r="B13" s="2">
        <v>3</v>
      </c>
      <c r="C13" s="190" t="s">
        <v>50</v>
      </c>
      <c r="D13" s="10"/>
    </row>
    <row r="14" spans="1:4" ht="27" x14ac:dyDescent="0.25">
      <c r="A14" s="1" t="s">
        <v>47</v>
      </c>
      <c r="B14" s="2">
        <v>17</v>
      </c>
      <c r="C14" s="190" t="s">
        <v>74</v>
      </c>
      <c r="D14" s="10"/>
    </row>
    <row r="15" spans="1:4" ht="27" x14ac:dyDescent="0.25">
      <c r="A15" s="1" t="s">
        <v>44</v>
      </c>
      <c r="B15" s="2">
        <v>2</v>
      </c>
      <c r="C15" s="190" t="s">
        <v>72</v>
      </c>
      <c r="D15" s="10"/>
    </row>
    <row r="16" spans="1:4" x14ac:dyDescent="0.25">
      <c r="A16" s="1" t="s">
        <v>90</v>
      </c>
      <c r="B16" s="2">
        <v>4</v>
      </c>
      <c r="C16" s="190" t="s">
        <v>73</v>
      </c>
      <c r="D16" s="10"/>
    </row>
    <row r="17" spans="1:4" x14ac:dyDescent="0.25">
      <c r="A17" s="1"/>
      <c r="B17" s="2"/>
      <c r="C17" s="190"/>
      <c r="D17" s="10"/>
    </row>
    <row r="18" spans="1:4" x14ac:dyDescent="0.25">
      <c r="A18" s="1"/>
      <c r="B18" s="2"/>
      <c r="C18" s="191" t="s">
        <v>32</v>
      </c>
      <c r="D18" s="10"/>
    </row>
    <row r="19" spans="1:4" x14ac:dyDescent="0.25">
      <c r="A19" s="1" t="s">
        <v>42</v>
      </c>
      <c r="B19" s="2">
        <v>1</v>
      </c>
      <c r="C19" s="190" t="s">
        <v>71</v>
      </c>
      <c r="D19" s="10"/>
    </row>
    <row r="20" spans="1:4" ht="27" x14ac:dyDescent="0.25">
      <c r="A20" s="1" t="s">
        <v>47</v>
      </c>
      <c r="B20" s="2">
        <v>11</v>
      </c>
      <c r="C20" s="190" t="s">
        <v>74</v>
      </c>
      <c r="D20" s="10"/>
    </row>
    <row r="21" spans="1:4" x14ac:dyDescent="0.25">
      <c r="A21" s="1"/>
      <c r="B21" s="2"/>
      <c r="C21" s="190"/>
      <c r="D21" s="10"/>
    </row>
    <row r="22" spans="1:4" x14ac:dyDescent="0.25">
      <c r="A22" s="1"/>
      <c r="B22" s="2"/>
      <c r="C22" s="191" t="s">
        <v>33</v>
      </c>
      <c r="D22" s="10"/>
    </row>
    <row r="23" spans="1:4" x14ac:dyDescent="0.25">
      <c r="A23" s="1" t="s">
        <v>42</v>
      </c>
      <c r="B23" s="2">
        <v>1</v>
      </c>
      <c r="C23" s="190" t="s">
        <v>71</v>
      </c>
      <c r="D23" s="10"/>
    </row>
    <row r="24" spans="1:4" ht="27" x14ac:dyDescent="0.25">
      <c r="A24" s="2" t="s">
        <v>47</v>
      </c>
      <c r="B24" s="2">
        <v>23</v>
      </c>
      <c r="C24" s="190" t="s">
        <v>74</v>
      </c>
      <c r="D24" s="10"/>
    </row>
    <row r="25" spans="1:4" ht="27" x14ac:dyDescent="0.25">
      <c r="A25" s="2" t="s">
        <v>43</v>
      </c>
      <c r="B25" s="2">
        <v>3</v>
      </c>
      <c r="C25" s="190" t="s">
        <v>75</v>
      </c>
      <c r="D25" s="10"/>
    </row>
    <row r="26" spans="1:4" ht="14.25" thickBot="1" x14ac:dyDescent="0.3">
      <c r="A26" s="3"/>
      <c r="B26" s="3"/>
      <c r="C26" s="193"/>
      <c r="D26" s="11"/>
    </row>
    <row r="27" spans="1:4" ht="14.25" thickBot="1" x14ac:dyDescent="0.3">
      <c r="A27" s="12" t="s">
        <v>21</v>
      </c>
      <c r="B27" s="12">
        <f>SUM(B3:B26)</f>
        <v>90</v>
      </c>
      <c r="C27" s="194" t="s">
        <v>28</v>
      </c>
      <c r="D27" s="13"/>
    </row>
    <row r="28" spans="1:4" ht="15" thickBot="1" x14ac:dyDescent="0.35">
      <c r="A28" s="14"/>
      <c r="B28" s="14"/>
      <c r="C28" s="195"/>
      <c r="D28" s="14"/>
    </row>
    <row r="29" spans="1:4" ht="18.75" thickBot="1" x14ac:dyDescent="0.3">
      <c r="A29" s="6" t="s">
        <v>13</v>
      </c>
      <c r="B29" s="7">
        <v>2</v>
      </c>
      <c r="C29" s="187"/>
      <c r="D29" s="84"/>
    </row>
    <row r="30" spans="1:4" ht="27.75" thickBot="1" x14ac:dyDescent="0.3">
      <c r="A30" s="8" t="s">
        <v>2</v>
      </c>
      <c r="B30" s="18" t="s">
        <v>14</v>
      </c>
      <c r="C30" s="188" t="s">
        <v>6</v>
      </c>
      <c r="D30" s="8" t="s">
        <v>12</v>
      </c>
    </row>
    <row r="31" spans="1:4" x14ac:dyDescent="0.25">
      <c r="A31" s="5"/>
      <c r="B31" s="4"/>
      <c r="C31" s="189" t="s">
        <v>30</v>
      </c>
      <c r="D31" s="9"/>
    </row>
    <row r="32" spans="1:4" ht="27" x14ac:dyDescent="0.25">
      <c r="A32" s="180" t="s">
        <v>44</v>
      </c>
      <c r="B32" s="181">
        <v>6</v>
      </c>
      <c r="C32" s="196" t="s">
        <v>106</v>
      </c>
      <c r="D32" s="88"/>
    </row>
    <row r="33" spans="1:4" x14ac:dyDescent="0.25">
      <c r="A33" s="180" t="s">
        <v>42</v>
      </c>
      <c r="B33" s="181">
        <v>2</v>
      </c>
      <c r="C33" s="190" t="s">
        <v>71</v>
      </c>
      <c r="D33" s="88"/>
    </row>
    <row r="34" spans="1:4" x14ac:dyDescent="0.25">
      <c r="A34" s="180" t="s">
        <v>90</v>
      </c>
      <c r="B34" s="181">
        <v>6</v>
      </c>
      <c r="C34" s="192" t="s">
        <v>85</v>
      </c>
      <c r="D34" s="88"/>
    </row>
    <row r="35" spans="1:4" ht="27" x14ac:dyDescent="0.25">
      <c r="A35" s="1" t="s">
        <v>93</v>
      </c>
      <c r="B35" s="2">
        <v>4</v>
      </c>
      <c r="C35" s="192" t="s">
        <v>107</v>
      </c>
      <c r="D35" s="10"/>
    </row>
    <row r="36" spans="1:4" ht="27" x14ac:dyDescent="0.25">
      <c r="A36" s="1" t="s">
        <v>97</v>
      </c>
      <c r="B36" s="2">
        <v>6</v>
      </c>
      <c r="C36" s="192" t="s">
        <v>108</v>
      </c>
      <c r="D36" s="10"/>
    </row>
    <row r="37" spans="1:4" x14ac:dyDescent="0.25">
      <c r="A37" s="1"/>
      <c r="B37" s="2"/>
      <c r="C37" s="191" t="s">
        <v>31</v>
      </c>
      <c r="D37" s="10"/>
    </row>
    <row r="38" spans="1:4" x14ac:dyDescent="0.25">
      <c r="A38" s="180" t="s">
        <v>42</v>
      </c>
      <c r="B38" s="181">
        <v>2</v>
      </c>
      <c r="C38" s="190" t="s">
        <v>71</v>
      </c>
      <c r="D38" s="10"/>
    </row>
    <row r="39" spans="1:4" x14ac:dyDescent="0.25">
      <c r="A39" s="180" t="s">
        <v>90</v>
      </c>
      <c r="B39" s="181">
        <v>3</v>
      </c>
      <c r="C39" s="192" t="s">
        <v>85</v>
      </c>
      <c r="D39" s="10"/>
    </row>
    <row r="40" spans="1:4" ht="27" x14ac:dyDescent="0.25">
      <c r="A40" s="180" t="s">
        <v>97</v>
      </c>
      <c r="B40" s="181">
        <v>3</v>
      </c>
      <c r="C40" s="192" t="s">
        <v>109</v>
      </c>
      <c r="D40" s="10"/>
    </row>
    <row r="41" spans="1:4" x14ac:dyDescent="0.25">
      <c r="A41" s="180" t="s">
        <v>20</v>
      </c>
      <c r="B41" s="181">
        <v>2</v>
      </c>
      <c r="C41" s="192" t="s">
        <v>110</v>
      </c>
      <c r="D41" s="10"/>
    </row>
    <row r="42" spans="1:4" ht="38.25" customHeight="1" x14ac:dyDescent="0.25">
      <c r="A42" s="180" t="s">
        <v>103</v>
      </c>
      <c r="B42" s="181">
        <v>17</v>
      </c>
      <c r="C42" s="192" t="s">
        <v>111</v>
      </c>
      <c r="D42" s="10"/>
    </row>
    <row r="43" spans="1:4" x14ac:dyDescent="0.25">
      <c r="A43" s="2"/>
      <c r="B43" s="2"/>
      <c r="C43" s="191" t="s">
        <v>32</v>
      </c>
      <c r="D43" s="10"/>
    </row>
    <row r="44" spans="1:4" x14ac:dyDescent="0.25">
      <c r="A44" s="180" t="s">
        <v>42</v>
      </c>
      <c r="B44" s="181">
        <v>2</v>
      </c>
      <c r="C44" s="190" t="s">
        <v>71</v>
      </c>
      <c r="D44" s="10"/>
    </row>
    <row r="45" spans="1:4" x14ac:dyDescent="0.25">
      <c r="A45" s="180" t="s">
        <v>90</v>
      </c>
      <c r="B45" s="181">
        <v>3</v>
      </c>
      <c r="C45" s="192" t="s">
        <v>85</v>
      </c>
      <c r="D45" s="10"/>
    </row>
    <row r="46" spans="1:4" ht="40.5" x14ac:dyDescent="0.25">
      <c r="A46" s="186" t="s">
        <v>103</v>
      </c>
      <c r="B46" s="177">
        <v>4</v>
      </c>
      <c r="C46" s="192" t="s">
        <v>112</v>
      </c>
      <c r="D46" s="51"/>
    </row>
    <row r="47" spans="1:4" x14ac:dyDescent="0.25">
      <c r="A47" s="186" t="s">
        <v>94</v>
      </c>
      <c r="B47" s="177">
        <v>3</v>
      </c>
      <c r="C47" s="192" t="s">
        <v>117</v>
      </c>
      <c r="D47" s="51"/>
    </row>
    <row r="48" spans="1:4" x14ac:dyDescent="0.25">
      <c r="A48" s="50"/>
      <c r="B48" s="50"/>
      <c r="C48" s="191" t="s">
        <v>33</v>
      </c>
      <c r="D48" s="51"/>
    </row>
    <row r="49" spans="1:4" x14ac:dyDescent="0.25">
      <c r="A49" s="180" t="s">
        <v>42</v>
      </c>
      <c r="B49" s="181">
        <v>2</v>
      </c>
      <c r="C49" s="190" t="s">
        <v>71</v>
      </c>
      <c r="D49" s="51"/>
    </row>
    <row r="50" spans="1:4" ht="14.25" thickBot="1" x14ac:dyDescent="0.3">
      <c r="A50" s="180" t="s">
        <v>90</v>
      </c>
      <c r="B50" s="181">
        <v>3</v>
      </c>
      <c r="C50" s="192" t="s">
        <v>85</v>
      </c>
      <c r="D50" s="11"/>
    </row>
    <row r="51" spans="1:4" ht="41.25" thickBot="1" x14ac:dyDescent="0.3">
      <c r="A51" s="186" t="s">
        <v>103</v>
      </c>
      <c r="B51" s="177">
        <v>6</v>
      </c>
      <c r="C51" s="199" t="s">
        <v>114</v>
      </c>
      <c r="D51" s="157"/>
    </row>
    <row r="52" spans="1:4" ht="14.25" thickBot="1" x14ac:dyDescent="0.3">
      <c r="A52" s="186" t="s">
        <v>94</v>
      </c>
      <c r="B52" s="177">
        <v>8</v>
      </c>
      <c r="C52" s="192" t="s">
        <v>117</v>
      </c>
      <c r="D52" s="157"/>
    </row>
    <row r="53" spans="1:4" ht="14.25" thickBot="1" x14ac:dyDescent="0.3">
      <c r="A53" s="186" t="s">
        <v>95</v>
      </c>
      <c r="B53" s="177">
        <v>8</v>
      </c>
      <c r="C53" s="192" t="s">
        <v>113</v>
      </c>
      <c r="D53" s="157"/>
    </row>
    <row r="54" spans="1:4" ht="14.25" thickBot="1" x14ac:dyDescent="0.3">
      <c r="A54" s="12" t="s">
        <v>21</v>
      </c>
      <c r="B54" s="12">
        <f>SUM(B31:B53)</f>
        <v>90</v>
      </c>
      <c r="C54" s="194" t="s">
        <v>28</v>
      </c>
      <c r="D54" s="13"/>
    </row>
    <row r="55" spans="1:4" ht="15" thickBot="1" x14ac:dyDescent="0.35">
      <c r="A55" s="14"/>
      <c r="B55" s="14"/>
      <c r="C55" s="195"/>
      <c r="D55" s="14"/>
    </row>
    <row r="56" spans="1:4" ht="18.75" thickBot="1" x14ac:dyDescent="0.3">
      <c r="A56" s="6" t="s">
        <v>13</v>
      </c>
      <c r="B56" s="7">
        <v>3</v>
      </c>
      <c r="C56" s="187"/>
      <c r="D56" s="84"/>
    </row>
    <row r="57" spans="1:4" ht="27.75" thickBot="1" x14ac:dyDescent="0.3">
      <c r="A57" s="8" t="s">
        <v>2</v>
      </c>
      <c r="B57" s="18" t="s">
        <v>14</v>
      </c>
      <c r="C57" s="188" t="s">
        <v>6</v>
      </c>
      <c r="D57" s="8" t="s">
        <v>12</v>
      </c>
    </row>
    <row r="58" spans="1:4" x14ac:dyDescent="0.25">
      <c r="A58" s="5"/>
      <c r="B58" s="4"/>
      <c r="C58" s="189" t="s">
        <v>30</v>
      </c>
      <c r="D58" s="9"/>
    </row>
    <row r="59" spans="1:4" x14ac:dyDescent="0.25">
      <c r="A59" s="180" t="s">
        <v>42</v>
      </c>
      <c r="B59" s="181">
        <v>2</v>
      </c>
      <c r="C59" s="190" t="s">
        <v>71</v>
      </c>
      <c r="D59" s="10"/>
    </row>
    <row r="60" spans="1:4" x14ac:dyDescent="0.25">
      <c r="A60" s="180" t="s">
        <v>90</v>
      </c>
      <c r="B60" s="181">
        <v>3</v>
      </c>
      <c r="C60" s="192" t="s">
        <v>85</v>
      </c>
      <c r="D60" s="10"/>
    </row>
    <row r="61" spans="1:4" ht="27" x14ac:dyDescent="0.25">
      <c r="A61" s="186" t="s">
        <v>100</v>
      </c>
      <c r="B61" s="177">
        <v>12</v>
      </c>
      <c r="C61" s="199" t="s">
        <v>115</v>
      </c>
      <c r="D61" s="10"/>
    </row>
    <row r="62" spans="1:4" ht="27" x14ac:dyDescent="0.25">
      <c r="A62" s="186" t="s">
        <v>96</v>
      </c>
      <c r="B62" s="177">
        <v>7</v>
      </c>
      <c r="C62" s="199" t="s">
        <v>116</v>
      </c>
      <c r="D62" s="10"/>
    </row>
    <row r="63" spans="1:4" x14ac:dyDescent="0.25">
      <c r="A63" s="180"/>
      <c r="B63" s="181"/>
      <c r="C63" s="192"/>
      <c r="D63" s="10"/>
    </row>
    <row r="64" spans="1:4" x14ac:dyDescent="0.25">
      <c r="A64" s="1"/>
      <c r="B64" s="2"/>
      <c r="C64" s="191" t="s">
        <v>31</v>
      </c>
      <c r="D64" s="10"/>
    </row>
    <row r="65" spans="1:4" x14ac:dyDescent="0.25">
      <c r="A65" s="180" t="s">
        <v>42</v>
      </c>
      <c r="B65" s="181">
        <v>2</v>
      </c>
      <c r="C65" s="190" t="s">
        <v>71</v>
      </c>
      <c r="D65" s="10"/>
    </row>
    <row r="66" spans="1:4" x14ac:dyDescent="0.25">
      <c r="A66" s="180" t="s">
        <v>90</v>
      </c>
      <c r="B66" s="181">
        <v>3</v>
      </c>
      <c r="C66" s="192" t="s">
        <v>85</v>
      </c>
      <c r="D66" s="10"/>
    </row>
    <row r="67" spans="1:4" ht="27" x14ac:dyDescent="0.25">
      <c r="A67" s="180" t="s">
        <v>96</v>
      </c>
      <c r="B67" s="181">
        <v>17</v>
      </c>
      <c r="C67" s="199" t="s">
        <v>116</v>
      </c>
      <c r="D67" s="10"/>
    </row>
    <row r="68" spans="1:4" ht="40.5" x14ac:dyDescent="0.25">
      <c r="A68" s="180" t="s">
        <v>98</v>
      </c>
      <c r="B68" s="181">
        <v>5</v>
      </c>
      <c r="C68" s="192" t="s">
        <v>118</v>
      </c>
      <c r="D68" s="10"/>
    </row>
    <row r="69" spans="1:4" x14ac:dyDescent="0.25">
      <c r="A69" s="1"/>
      <c r="B69" s="2"/>
      <c r="C69" s="190"/>
      <c r="D69" s="10"/>
    </row>
    <row r="70" spans="1:4" x14ac:dyDescent="0.25">
      <c r="A70" s="2"/>
      <c r="B70" s="2"/>
      <c r="C70" s="191" t="s">
        <v>32</v>
      </c>
      <c r="D70" s="10"/>
    </row>
    <row r="71" spans="1:4" x14ac:dyDescent="0.25">
      <c r="A71" s="180" t="s">
        <v>42</v>
      </c>
      <c r="B71" s="181">
        <v>2</v>
      </c>
      <c r="C71" s="190" t="s">
        <v>71</v>
      </c>
      <c r="D71" s="10"/>
    </row>
    <row r="72" spans="1:4" x14ac:dyDescent="0.25">
      <c r="A72" s="180" t="s">
        <v>90</v>
      </c>
      <c r="B72" s="181">
        <v>3</v>
      </c>
      <c r="C72" s="192" t="s">
        <v>85</v>
      </c>
      <c r="D72" s="10"/>
    </row>
    <row r="73" spans="1:4" ht="40.5" x14ac:dyDescent="0.25">
      <c r="A73" s="180" t="s">
        <v>98</v>
      </c>
      <c r="B73" s="181">
        <v>7</v>
      </c>
      <c r="C73" s="192" t="s">
        <v>118</v>
      </c>
      <c r="D73" s="51"/>
    </row>
    <row r="74" spans="1:4" x14ac:dyDescent="0.25">
      <c r="A74" s="186"/>
      <c r="B74" s="177"/>
      <c r="C74" s="192"/>
      <c r="D74" s="51"/>
    </row>
    <row r="75" spans="1:4" x14ac:dyDescent="0.25">
      <c r="A75" s="50"/>
      <c r="B75" s="50"/>
      <c r="C75" s="191" t="s">
        <v>33</v>
      </c>
      <c r="D75" s="51"/>
    </row>
    <row r="76" spans="1:4" x14ac:dyDescent="0.25">
      <c r="A76" s="180" t="s">
        <v>42</v>
      </c>
      <c r="B76" s="181">
        <v>2</v>
      </c>
      <c r="C76" s="190" t="s">
        <v>71</v>
      </c>
      <c r="D76" s="51"/>
    </row>
    <row r="77" spans="1:4" x14ac:dyDescent="0.25">
      <c r="A77" s="180" t="s">
        <v>90</v>
      </c>
      <c r="B77" s="181">
        <v>3</v>
      </c>
      <c r="C77" s="192" t="s">
        <v>85</v>
      </c>
      <c r="D77" s="179"/>
    </row>
    <row r="78" spans="1:4" ht="27" x14ac:dyDescent="0.25">
      <c r="A78" s="186" t="s">
        <v>99</v>
      </c>
      <c r="B78" s="177">
        <v>12</v>
      </c>
      <c r="C78" s="199" t="s">
        <v>119</v>
      </c>
      <c r="D78" s="179"/>
    </row>
    <row r="79" spans="1:4" ht="27" x14ac:dyDescent="0.25">
      <c r="A79" s="186" t="s">
        <v>47</v>
      </c>
      <c r="B79" s="177">
        <v>10</v>
      </c>
      <c r="C79" s="199" t="s">
        <v>120</v>
      </c>
      <c r="D79" s="179"/>
    </row>
    <row r="80" spans="1:4" ht="14.25" thickBot="1" x14ac:dyDescent="0.3">
      <c r="A80" s="186"/>
      <c r="B80" s="177"/>
      <c r="C80" s="199"/>
      <c r="D80" s="179"/>
    </row>
    <row r="81" spans="1:4" ht="14.25" thickBot="1" x14ac:dyDescent="0.3">
      <c r="A81" s="12" t="s">
        <v>21</v>
      </c>
      <c r="B81" s="12">
        <f>SUM(B58:B79)</f>
        <v>90</v>
      </c>
      <c r="C81" s="194" t="s">
        <v>28</v>
      </c>
      <c r="D81" s="13"/>
    </row>
    <row r="82" spans="1:4" ht="15" thickBot="1" x14ac:dyDescent="0.35">
      <c r="A82" s="14"/>
      <c r="B82" s="14"/>
      <c r="C82" s="195"/>
      <c r="D82" s="14"/>
    </row>
    <row r="83" spans="1:4" ht="18.75" thickBot="1" x14ac:dyDescent="0.3">
      <c r="A83" s="6" t="s">
        <v>13</v>
      </c>
      <c r="B83" s="7">
        <v>5</v>
      </c>
      <c r="C83" s="187"/>
      <c r="D83" s="84"/>
    </row>
    <row r="84" spans="1:4" ht="27.75" thickBot="1" x14ac:dyDescent="0.3">
      <c r="A84" s="8" t="s">
        <v>2</v>
      </c>
      <c r="B84" s="18" t="s">
        <v>14</v>
      </c>
      <c r="C84" s="188" t="s">
        <v>6</v>
      </c>
      <c r="D84" s="8" t="s">
        <v>12</v>
      </c>
    </row>
    <row r="85" spans="1:4" x14ac:dyDescent="0.25">
      <c r="A85" s="5"/>
      <c r="B85" s="4"/>
      <c r="C85" s="189" t="s">
        <v>30</v>
      </c>
      <c r="D85" s="9"/>
    </row>
    <row r="86" spans="1:4" x14ac:dyDescent="0.25">
      <c r="A86" s="1" t="s">
        <v>42</v>
      </c>
      <c r="B86" s="2">
        <v>2</v>
      </c>
      <c r="C86" s="190" t="s">
        <v>71</v>
      </c>
      <c r="D86" s="88"/>
    </row>
    <row r="87" spans="1:4" x14ac:dyDescent="0.25">
      <c r="A87" s="180" t="s">
        <v>90</v>
      </c>
      <c r="B87" s="181">
        <v>3</v>
      </c>
      <c r="C87" s="192" t="s">
        <v>85</v>
      </c>
      <c r="D87" s="88"/>
    </row>
    <row r="88" spans="1:4" ht="27" x14ac:dyDescent="0.25">
      <c r="A88" s="1" t="s">
        <v>47</v>
      </c>
      <c r="B88" s="200">
        <v>4</v>
      </c>
      <c r="C88" s="199" t="s">
        <v>120</v>
      </c>
      <c r="D88" s="10"/>
    </row>
    <row r="89" spans="1:4" ht="27" x14ac:dyDescent="0.25">
      <c r="A89" s="1" t="s">
        <v>48</v>
      </c>
      <c r="B89" s="2">
        <v>8</v>
      </c>
      <c r="C89" s="192" t="s">
        <v>121</v>
      </c>
      <c r="D89" s="10"/>
    </row>
    <row r="90" spans="1:4" x14ac:dyDescent="0.25">
      <c r="A90" s="1" t="s">
        <v>49</v>
      </c>
      <c r="B90" s="2">
        <v>7</v>
      </c>
      <c r="C90" s="192" t="s">
        <v>122</v>
      </c>
      <c r="D90" s="10"/>
    </row>
    <row r="91" spans="1:4" x14ac:dyDescent="0.25">
      <c r="A91" s="1"/>
      <c r="B91" s="2"/>
      <c r="C91" s="191" t="s">
        <v>31</v>
      </c>
      <c r="D91" s="10"/>
    </row>
    <row r="92" spans="1:4" x14ac:dyDescent="0.25">
      <c r="A92" s="180" t="s">
        <v>42</v>
      </c>
      <c r="B92" s="181">
        <v>2</v>
      </c>
      <c r="C92" s="190" t="s">
        <v>71</v>
      </c>
      <c r="D92" s="10"/>
    </row>
    <row r="93" spans="1:4" x14ac:dyDescent="0.25">
      <c r="A93" s="180" t="s">
        <v>90</v>
      </c>
      <c r="B93" s="181">
        <v>3</v>
      </c>
      <c r="C93" s="192" t="s">
        <v>85</v>
      </c>
      <c r="D93" s="10"/>
    </row>
    <row r="94" spans="1:4" x14ac:dyDescent="0.25">
      <c r="A94" s="1" t="s">
        <v>49</v>
      </c>
      <c r="B94" s="2">
        <v>22</v>
      </c>
      <c r="C94" s="192" t="s">
        <v>122</v>
      </c>
      <c r="D94" s="10"/>
    </row>
    <row r="95" spans="1:4" x14ac:dyDescent="0.25">
      <c r="A95" s="2"/>
      <c r="B95" s="2"/>
      <c r="C95" s="191" t="s">
        <v>32</v>
      </c>
      <c r="D95" s="10"/>
    </row>
    <row r="96" spans="1:4" x14ac:dyDescent="0.25">
      <c r="A96" s="180" t="s">
        <v>42</v>
      </c>
      <c r="B96" s="181">
        <v>2</v>
      </c>
      <c r="C96" s="190" t="s">
        <v>71</v>
      </c>
      <c r="D96" s="10"/>
    </row>
    <row r="97" spans="1:4" x14ac:dyDescent="0.25">
      <c r="A97" s="180" t="s">
        <v>90</v>
      </c>
      <c r="B97" s="181">
        <v>3</v>
      </c>
      <c r="C97" s="192" t="s">
        <v>85</v>
      </c>
      <c r="D97" s="10"/>
    </row>
    <row r="98" spans="1:4" x14ac:dyDescent="0.25">
      <c r="A98" s="1" t="s">
        <v>49</v>
      </c>
      <c r="B98" s="2">
        <v>7</v>
      </c>
      <c r="C98" s="192" t="s">
        <v>122</v>
      </c>
      <c r="D98" s="51"/>
    </row>
    <row r="99" spans="1:4" x14ac:dyDescent="0.25">
      <c r="A99" s="50"/>
      <c r="B99" s="50"/>
      <c r="C99" s="191" t="s">
        <v>33</v>
      </c>
      <c r="D99" s="51"/>
    </row>
    <row r="100" spans="1:4" x14ac:dyDescent="0.25">
      <c r="A100" s="180" t="s">
        <v>42</v>
      </c>
      <c r="B100" s="181">
        <v>2</v>
      </c>
      <c r="C100" s="190" t="s">
        <v>71</v>
      </c>
      <c r="D100" s="51"/>
    </row>
    <row r="101" spans="1:4" x14ac:dyDescent="0.25">
      <c r="A101" s="180" t="s">
        <v>90</v>
      </c>
      <c r="B101" s="181">
        <v>3</v>
      </c>
      <c r="C101" s="192" t="s">
        <v>85</v>
      </c>
      <c r="D101" s="179"/>
    </row>
    <row r="102" spans="1:4" ht="14.25" thickBot="1" x14ac:dyDescent="0.3">
      <c r="A102" s="1" t="s">
        <v>49</v>
      </c>
      <c r="B102" s="2">
        <v>22</v>
      </c>
      <c r="C102" s="192" t="s">
        <v>122</v>
      </c>
      <c r="D102" s="179"/>
    </row>
    <row r="103" spans="1:4" ht="14.25" thickBot="1" x14ac:dyDescent="0.3">
      <c r="A103" s="12" t="s">
        <v>21</v>
      </c>
      <c r="B103" s="12">
        <f>SUM(B85:B102)</f>
        <v>90</v>
      </c>
      <c r="C103" s="194" t="s">
        <v>28</v>
      </c>
      <c r="D103" s="13"/>
    </row>
    <row r="104" spans="1:4" ht="15" thickBot="1" x14ac:dyDescent="0.35">
      <c r="A104" s="14"/>
      <c r="B104" s="14"/>
      <c r="C104" s="195"/>
      <c r="D104" s="14"/>
    </row>
    <row r="105" spans="1:4" ht="18.75" thickBot="1" x14ac:dyDescent="0.3">
      <c r="A105" s="6" t="s">
        <v>13</v>
      </c>
      <c r="B105" s="7">
        <v>6</v>
      </c>
      <c r="C105" s="187"/>
      <c r="D105" s="84"/>
    </row>
    <row r="106" spans="1:4" ht="27.75" thickBot="1" x14ac:dyDescent="0.3">
      <c r="A106" s="8" t="s">
        <v>2</v>
      </c>
      <c r="B106" s="18" t="s">
        <v>14</v>
      </c>
      <c r="C106" s="188" t="s">
        <v>6</v>
      </c>
      <c r="D106" s="8" t="s">
        <v>12</v>
      </c>
    </row>
    <row r="107" spans="1:4" x14ac:dyDescent="0.25">
      <c r="A107" s="5"/>
      <c r="B107" s="4"/>
      <c r="C107" s="189" t="s">
        <v>30</v>
      </c>
      <c r="D107" s="9"/>
    </row>
    <row r="108" spans="1:4" x14ac:dyDescent="0.25">
      <c r="A108" s="180" t="s">
        <v>42</v>
      </c>
      <c r="B108" s="181">
        <v>2</v>
      </c>
      <c r="C108" s="190" t="s">
        <v>71</v>
      </c>
      <c r="D108" s="10"/>
    </row>
    <row r="109" spans="1:4" x14ac:dyDescent="0.25">
      <c r="A109" s="180" t="s">
        <v>90</v>
      </c>
      <c r="B109" s="181">
        <v>3</v>
      </c>
      <c r="C109" s="192" t="s">
        <v>85</v>
      </c>
      <c r="D109" s="10"/>
    </row>
    <row r="110" spans="1:4" x14ac:dyDescent="0.25">
      <c r="A110" s="180" t="s">
        <v>49</v>
      </c>
      <c r="B110" s="181">
        <v>19</v>
      </c>
      <c r="C110" s="192" t="s">
        <v>122</v>
      </c>
      <c r="D110" s="10"/>
    </row>
    <row r="111" spans="1:4" x14ac:dyDescent="0.25">
      <c r="A111" s="1"/>
      <c r="B111" s="2"/>
      <c r="C111" s="191" t="s">
        <v>31</v>
      </c>
      <c r="D111" s="10"/>
    </row>
    <row r="112" spans="1:4" x14ac:dyDescent="0.25">
      <c r="A112" s="180" t="s">
        <v>42</v>
      </c>
      <c r="B112" s="181">
        <v>2</v>
      </c>
      <c r="C112" s="190" t="s">
        <v>71</v>
      </c>
      <c r="D112" s="10"/>
    </row>
    <row r="113" spans="1:4" x14ac:dyDescent="0.25">
      <c r="A113" s="180" t="s">
        <v>90</v>
      </c>
      <c r="B113" s="181">
        <v>3</v>
      </c>
      <c r="C113" s="192" t="s">
        <v>85</v>
      </c>
      <c r="D113" s="10"/>
    </row>
    <row r="114" spans="1:4" x14ac:dyDescent="0.25">
      <c r="A114" s="180" t="s">
        <v>49</v>
      </c>
      <c r="B114" s="181">
        <v>22</v>
      </c>
      <c r="C114" s="192" t="s">
        <v>122</v>
      </c>
      <c r="D114" s="10"/>
    </row>
    <row r="115" spans="1:4" x14ac:dyDescent="0.25">
      <c r="A115" s="2"/>
      <c r="B115" s="2"/>
      <c r="C115" s="191" t="s">
        <v>32</v>
      </c>
      <c r="D115" s="10"/>
    </row>
    <row r="116" spans="1:4" x14ac:dyDescent="0.25">
      <c r="A116" s="180" t="s">
        <v>42</v>
      </c>
      <c r="B116" s="181">
        <v>2</v>
      </c>
      <c r="C116" s="190" t="s">
        <v>71</v>
      </c>
      <c r="D116" s="10"/>
    </row>
    <row r="117" spans="1:4" x14ac:dyDescent="0.25">
      <c r="A117" s="180" t="s">
        <v>90</v>
      </c>
      <c r="B117" s="181">
        <v>3</v>
      </c>
      <c r="C117" s="192" t="s">
        <v>85</v>
      </c>
      <c r="D117" s="10"/>
    </row>
    <row r="118" spans="1:4" x14ac:dyDescent="0.25">
      <c r="A118" s="180" t="s">
        <v>49</v>
      </c>
      <c r="B118" s="181">
        <v>7</v>
      </c>
      <c r="C118" s="192" t="s">
        <v>122</v>
      </c>
      <c r="D118" s="51"/>
    </row>
    <row r="119" spans="1:4" x14ac:dyDescent="0.25">
      <c r="A119" s="50"/>
      <c r="B119" s="50"/>
      <c r="C119" s="191" t="s">
        <v>33</v>
      </c>
      <c r="D119" s="51"/>
    </row>
    <row r="120" spans="1:4" x14ac:dyDescent="0.25">
      <c r="A120" s="180" t="s">
        <v>42</v>
      </c>
      <c r="B120" s="181">
        <v>2</v>
      </c>
      <c r="C120" s="190" t="s">
        <v>71</v>
      </c>
      <c r="D120" s="51"/>
    </row>
    <row r="121" spans="1:4" x14ac:dyDescent="0.25">
      <c r="A121" s="180" t="s">
        <v>90</v>
      </c>
      <c r="B121" s="181">
        <v>3</v>
      </c>
      <c r="C121" s="192" t="s">
        <v>85</v>
      </c>
      <c r="D121" s="179"/>
    </row>
    <row r="122" spans="1:4" ht="14.25" thickBot="1" x14ac:dyDescent="0.3">
      <c r="A122" s="180" t="s">
        <v>49</v>
      </c>
      <c r="B122" s="181">
        <v>22</v>
      </c>
      <c r="C122" s="192" t="s">
        <v>122</v>
      </c>
      <c r="D122" s="179"/>
    </row>
    <row r="123" spans="1:4" ht="14.25" thickBot="1" x14ac:dyDescent="0.3">
      <c r="A123" s="12" t="s">
        <v>21</v>
      </c>
      <c r="B123" s="12">
        <f>SUM(B107:B122)</f>
        <v>90</v>
      </c>
      <c r="C123" s="194" t="s">
        <v>28</v>
      </c>
      <c r="D123" s="13"/>
    </row>
    <row r="124" spans="1:4" ht="15" thickBot="1" x14ac:dyDescent="0.35">
      <c r="A124" s="14"/>
      <c r="B124" s="14"/>
      <c r="C124" s="195"/>
      <c r="D124" s="14"/>
    </row>
    <row r="125" spans="1:4" ht="18.75" thickBot="1" x14ac:dyDescent="0.3">
      <c r="A125" s="6" t="s">
        <v>13</v>
      </c>
      <c r="B125" s="7">
        <v>7</v>
      </c>
      <c r="C125" s="187"/>
      <c r="D125" s="84"/>
    </row>
    <row r="126" spans="1:4" ht="27.75" thickBot="1" x14ac:dyDescent="0.3">
      <c r="A126" s="8" t="s">
        <v>2</v>
      </c>
      <c r="B126" s="18" t="s">
        <v>14</v>
      </c>
      <c r="C126" s="188" t="s">
        <v>6</v>
      </c>
      <c r="D126" s="8" t="s">
        <v>12</v>
      </c>
    </row>
    <row r="127" spans="1:4" x14ac:dyDescent="0.25">
      <c r="A127" s="5"/>
      <c r="B127" s="4"/>
      <c r="C127" s="189" t="s">
        <v>30</v>
      </c>
      <c r="D127" s="9"/>
    </row>
    <row r="128" spans="1:4" x14ac:dyDescent="0.25">
      <c r="A128" s="180" t="s">
        <v>42</v>
      </c>
      <c r="B128" s="181">
        <v>2</v>
      </c>
      <c r="C128" s="190" t="s">
        <v>71</v>
      </c>
      <c r="D128" s="10"/>
    </row>
    <row r="129" spans="1:4" x14ac:dyDescent="0.25">
      <c r="A129" s="180" t="s">
        <v>90</v>
      </c>
      <c r="B129" s="181">
        <v>3</v>
      </c>
      <c r="C129" s="192" t="s">
        <v>85</v>
      </c>
      <c r="D129" s="10"/>
    </row>
    <row r="130" spans="1:4" x14ac:dyDescent="0.25">
      <c r="A130" s="180" t="s">
        <v>49</v>
      </c>
      <c r="B130" s="181">
        <v>19</v>
      </c>
      <c r="C130" s="192" t="s">
        <v>122</v>
      </c>
      <c r="D130" s="10"/>
    </row>
    <row r="131" spans="1:4" x14ac:dyDescent="0.25">
      <c r="A131" s="1"/>
      <c r="B131" s="2"/>
      <c r="C131" s="191" t="s">
        <v>31</v>
      </c>
      <c r="D131" s="10"/>
    </row>
    <row r="132" spans="1:4" x14ac:dyDescent="0.25">
      <c r="A132" s="180" t="s">
        <v>42</v>
      </c>
      <c r="B132" s="181">
        <v>2</v>
      </c>
      <c r="C132" s="190" t="s">
        <v>71</v>
      </c>
      <c r="D132" s="10"/>
    </row>
    <row r="133" spans="1:4" x14ac:dyDescent="0.25">
      <c r="A133" s="180" t="s">
        <v>90</v>
      </c>
      <c r="B133" s="181">
        <v>3</v>
      </c>
      <c r="C133" s="192" t="s">
        <v>85</v>
      </c>
      <c r="D133" s="10"/>
    </row>
    <row r="134" spans="1:4" x14ac:dyDescent="0.25">
      <c r="A134" s="180" t="s">
        <v>49</v>
      </c>
      <c r="B134" s="181">
        <v>22</v>
      </c>
      <c r="C134" s="192" t="s">
        <v>122</v>
      </c>
      <c r="D134" s="10"/>
    </row>
    <row r="135" spans="1:4" x14ac:dyDescent="0.25">
      <c r="A135" s="2"/>
      <c r="B135" s="2"/>
      <c r="C135" s="191" t="s">
        <v>32</v>
      </c>
      <c r="D135" s="10"/>
    </row>
    <row r="136" spans="1:4" x14ac:dyDescent="0.25">
      <c r="A136" s="180" t="s">
        <v>42</v>
      </c>
      <c r="B136" s="181">
        <v>2</v>
      </c>
      <c r="C136" s="190" t="s">
        <v>71</v>
      </c>
      <c r="D136" s="10"/>
    </row>
    <row r="137" spans="1:4" x14ac:dyDescent="0.25">
      <c r="A137" s="180" t="s">
        <v>90</v>
      </c>
      <c r="B137" s="181">
        <v>3</v>
      </c>
      <c r="C137" s="192" t="s">
        <v>85</v>
      </c>
      <c r="D137" s="10"/>
    </row>
    <row r="138" spans="1:4" x14ac:dyDescent="0.25">
      <c r="A138" s="180" t="s">
        <v>49</v>
      </c>
      <c r="B138" s="181">
        <v>7</v>
      </c>
      <c r="C138" s="192" t="s">
        <v>122</v>
      </c>
      <c r="D138" s="51"/>
    </row>
    <row r="139" spans="1:4" x14ac:dyDescent="0.25">
      <c r="A139" s="50"/>
      <c r="B139" s="50"/>
      <c r="C139" s="191" t="s">
        <v>33</v>
      </c>
      <c r="D139" s="51"/>
    </row>
    <row r="140" spans="1:4" x14ac:dyDescent="0.25">
      <c r="A140" s="180" t="s">
        <v>42</v>
      </c>
      <c r="B140" s="181">
        <v>2</v>
      </c>
      <c r="C140" s="190" t="s">
        <v>71</v>
      </c>
      <c r="D140" s="51"/>
    </row>
    <row r="141" spans="1:4" x14ac:dyDescent="0.25">
      <c r="A141" s="180" t="s">
        <v>90</v>
      </c>
      <c r="B141" s="181">
        <v>3</v>
      </c>
      <c r="C141" s="192" t="s">
        <v>85</v>
      </c>
      <c r="D141" s="179"/>
    </row>
    <row r="142" spans="1:4" ht="14.25" thickBot="1" x14ac:dyDescent="0.3">
      <c r="A142" s="180" t="s">
        <v>49</v>
      </c>
      <c r="B142" s="181">
        <v>22</v>
      </c>
      <c r="C142" s="192" t="s">
        <v>122</v>
      </c>
      <c r="D142" s="179"/>
    </row>
    <row r="143" spans="1:4" ht="14.25" thickBot="1" x14ac:dyDescent="0.3">
      <c r="A143" s="12" t="s">
        <v>21</v>
      </c>
      <c r="B143" s="12">
        <f>SUM(B127:B142)</f>
        <v>90</v>
      </c>
      <c r="C143" s="194" t="s">
        <v>28</v>
      </c>
      <c r="D143" s="13"/>
    </row>
    <row r="144" spans="1:4" ht="15" thickBot="1" x14ac:dyDescent="0.35">
      <c r="A144" s="14"/>
      <c r="B144" s="14"/>
      <c r="C144" s="195"/>
      <c r="D144" s="14"/>
    </row>
    <row r="145" spans="1:4" ht="18.75" thickBot="1" x14ac:dyDescent="0.3">
      <c r="A145" s="6" t="s">
        <v>13</v>
      </c>
      <c r="B145" s="7">
        <v>8</v>
      </c>
      <c r="C145" s="187"/>
      <c r="D145" s="84"/>
    </row>
    <row r="146" spans="1:4" ht="27.75" thickBot="1" x14ac:dyDescent="0.3">
      <c r="A146" s="8" t="s">
        <v>2</v>
      </c>
      <c r="B146" s="18" t="s">
        <v>14</v>
      </c>
      <c r="C146" s="188" t="s">
        <v>6</v>
      </c>
      <c r="D146" s="8" t="s">
        <v>12</v>
      </c>
    </row>
    <row r="147" spans="1:4" x14ac:dyDescent="0.25">
      <c r="A147" s="5"/>
      <c r="B147" s="4"/>
      <c r="C147" s="189" t="s">
        <v>30</v>
      </c>
      <c r="D147" s="9"/>
    </row>
    <row r="148" spans="1:4" x14ac:dyDescent="0.25">
      <c r="A148" s="180" t="s">
        <v>42</v>
      </c>
      <c r="B148" s="181">
        <v>2</v>
      </c>
      <c r="C148" s="190" t="s">
        <v>71</v>
      </c>
      <c r="D148" s="10"/>
    </row>
    <row r="149" spans="1:4" x14ac:dyDescent="0.25">
      <c r="A149" s="180" t="s">
        <v>90</v>
      </c>
      <c r="B149" s="181">
        <v>3</v>
      </c>
      <c r="C149" s="192" t="s">
        <v>85</v>
      </c>
      <c r="D149" s="10"/>
    </row>
    <row r="150" spans="1:4" x14ac:dyDescent="0.25">
      <c r="A150" s="180" t="s">
        <v>49</v>
      </c>
      <c r="B150" s="181">
        <v>19</v>
      </c>
      <c r="C150" s="192" t="s">
        <v>122</v>
      </c>
      <c r="D150" s="10"/>
    </row>
    <row r="151" spans="1:4" x14ac:dyDescent="0.25">
      <c r="A151" s="1"/>
      <c r="B151" s="2"/>
      <c r="C151" s="191" t="s">
        <v>31</v>
      </c>
      <c r="D151" s="10"/>
    </row>
    <row r="152" spans="1:4" x14ac:dyDescent="0.25">
      <c r="A152" s="180" t="s">
        <v>42</v>
      </c>
      <c r="B152" s="181">
        <v>2</v>
      </c>
      <c r="C152" s="190" t="s">
        <v>71</v>
      </c>
      <c r="D152" s="10"/>
    </row>
    <row r="153" spans="1:4" x14ac:dyDescent="0.25">
      <c r="A153" s="180" t="s">
        <v>90</v>
      </c>
      <c r="B153" s="181">
        <v>3</v>
      </c>
      <c r="C153" s="192" t="s">
        <v>85</v>
      </c>
      <c r="D153" s="10"/>
    </row>
    <row r="154" spans="1:4" x14ac:dyDescent="0.25">
      <c r="A154" s="180" t="s">
        <v>49</v>
      </c>
      <c r="B154" s="181">
        <v>22</v>
      </c>
      <c r="C154" s="192" t="s">
        <v>122</v>
      </c>
      <c r="D154" s="10"/>
    </row>
    <row r="155" spans="1:4" x14ac:dyDescent="0.25">
      <c r="A155" s="2"/>
      <c r="B155" s="2"/>
      <c r="C155" s="191" t="s">
        <v>32</v>
      </c>
      <c r="D155" s="10"/>
    </row>
    <row r="156" spans="1:4" x14ac:dyDescent="0.25">
      <c r="A156" s="180" t="s">
        <v>42</v>
      </c>
      <c r="B156" s="181">
        <v>2</v>
      </c>
      <c r="C156" s="190" t="s">
        <v>71</v>
      </c>
      <c r="D156" s="10"/>
    </row>
    <row r="157" spans="1:4" x14ac:dyDescent="0.25">
      <c r="A157" s="180" t="s">
        <v>90</v>
      </c>
      <c r="B157" s="181">
        <v>3</v>
      </c>
      <c r="C157" s="192" t="s">
        <v>85</v>
      </c>
      <c r="D157" s="10"/>
    </row>
    <row r="158" spans="1:4" x14ac:dyDescent="0.25">
      <c r="A158" s="180" t="s">
        <v>49</v>
      </c>
      <c r="B158" s="181">
        <v>7</v>
      </c>
      <c r="C158" s="192" t="s">
        <v>122</v>
      </c>
      <c r="D158" s="51"/>
    </row>
    <row r="159" spans="1:4" x14ac:dyDescent="0.25">
      <c r="A159" s="50"/>
      <c r="B159" s="50"/>
      <c r="C159" s="191" t="s">
        <v>33</v>
      </c>
      <c r="D159" s="51"/>
    </row>
    <row r="160" spans="1:4" x14ac:dyDescent="0.25">
      <c r="A160" s="180" t="s">
        <v>42</v>
      </c>
      <c r="B160" s="181">
        <v>2</v>
      </c>
      <c r="C160" s="190" t="s">
        <v>71</v>
      </c>
      <c r="D160" s="51"/>
    </row>
    <row r="161" spans="1:4" x14ac:dyDescent="0.25">
      <c r="A161" s="180" t="s">
        <v>90</v>
      </c>
      <c r="B161" s="181">
        <v>3</v>
      </c>
      <c r="C161" s="192" t="s">
        <v>85</v>
      </c>
      <c r="D161" s="179"/>
    </row>
    <row r="162" spans="1:4" ht="14.25" thickBot="1" x14ac:dyDescent="0.3">
      <c r="A162" s="180" t="s">
        <v>49</v>
      </c>
      <c r="B162" s="181">
        <v>22</v>
      </c>
      <c r="C162" s="192" t="s">
        <v>122</v>
      </c>
      <c r="D162" s="179"/>
    </row>
    <row r="163" spans="1:4" ht="14.25" thickBot="1" x14ac:dyDescent="0.3">
      <c r="A163" s="12" t="s">
        <v>21</v>
      </c>
      <c r="B163" s="12">
        <f>SUM(B147:B162)</f>
        <v>90</v>
      </c>
      <c r="C163" s="194" t="s">
        <v>28</v>
      </c>
      <c r="D163" s="13"/>
    </row>
    <row r="164" spans="1:4" ht="15" thickBot="1" x14ac:dyDescent="0.35">
      <c r="A164" s="14"/>
      <c r="B164" s="14"/>
      <c r="C164" s="195"/>
      <c r="D164" s="14"/>
    </row>
    <row r="165" spans="1:4" ht="18.75" thickBot="1" x14ac:dyDescent="0.3">
      <c r="A165" s="6" t="s">
        <v>13</v>
      </c>
      <c r="B165" s="7">
        <v>9</v>
      </c>
      <c r="C165" s="187"/>
      <c r="D165" s="84"/>
    </row>
    <row r="166" spans="1:4" ht="27.75" thickBot="1" x14ac:dyDescent="0.3">
      <c r="A166" s="8" t="s">
        <v>2</v>
      </c>
      <c r="B166" s="18" t="s">
        <v>14</v>
      </c>
      <c r="C166" s="188" t="s">
        <v>6</v>
      </c>
      <c r="D166" s="8" t="s">
        <v>12</v>
      </c>
    </row>
    <row r="167" spans="1:4" x14ac:dyDescent="0.25">
      <c r="A167" s="5"/>
      <c r="B167" s="4"/>
      <c r="C167" s="189" t="s">
        <v>30</v>
      </c>
      <c r="D167" s="9"/>
    </row>
    <row r="168" spans="1:4" x14ac:dyDescent="0.25">
      <c r="A168" s="180" t="s">
        <v>42</v>
      </c>
      <c r="B168" s="181">
        <v>2</v>
      </c>
      <c r="C168" s="190" t="s">
        <v>71</v>
      </c>
      <c r="D168" s="10"/>
    </row>
    <row r="169" spans="1:4" x14ac:dyDescent="0.25">
      <c r="A169" s="180" t="s">
        <v>90</v>
      </c>
      <c r="B169" s="181">
        <v>3</v>
      </c>
      <c r="C169" s="192" t="s">
        <v>85</v>
      </c>
      <c r="D169" s="10"/>
    </row>
    <row r="170" spans="1:4" x14ac:dyDescent="0.25">
      <c r="A170" s="180" t="s">
        <v>49</v>
      </c>
      <c r="B170" s="181">
        <v>19</v>
      </c>
      <c r="C170" s="192" t="s">
        <v>122</v>
      </c>
      <c r="D170" s="10"/>
    </row>
    <row r="171" spans="1:4" x14ac:dyDescent="0.25">
      <c r="A171" s="1"/>
      <c r="B171" s="2"/>
      <c r="C171" s="191" t="s">
        <v>31</v>
      </c>
      <c r="D171" s="10"/>
    </row>
    <row r="172" spans="1:4" x14ac:dyDescent="0.25">
      <c r="A172" s="180" t="s">
        <v>42</v>
      </c>
      <c r="B172" s="181">
        <v>2</v>
      </c>
      <c r="C172" s="190" t="s">
        <v>71</v>
      </c>
      <c r="D172" s="10"/>
    </row>
    <row r="173" spans="1:4" x14ac:dyDescent="0.25">
      <c r="A173" s="180" t="s">
        <v>90</v>
      </c>
      <c r="B173" s="181">
        <v>3</v>
      </c>
      <c r="C173" s="192" t="s">
        <v>85</v>
      </c>
      <c r="D173" s="10"/>
    </row>
    <row r="174" spans="1:4" x14ac:dyDescent="0.25">
      <c r="A174" s="180" t="s">
        <v>49</v>
      </c>
      <c r="B174" s="181">
        <v>22</v>
      </c>
      <c r="C174" s="192" t="s">
        <v>122</v>
      </c>
      <c r="D174" s="10"/>
    </row>
    <row r="175" spans="1:4" x14ac:dyDescent="0.25">
      <c r="A175" s="2"/>
      <c r="B175" s="2"/>
      <c r="C175" s="191" t="s">
        <v>32</v>
      </c>
      <c r="D175" s="10"/>
    </row>
    <row r="176" spans="1:4" x14ac:dyDescent="0.25">
      <c r="A176" s="180" t="s">
        <v>42</v>
      </c>
      <c r="B176" s="181">
        <v>2</v>
      </c>
      <c r="C176" s="190" t="s">
        <v>71</v>
      </c>
      <c r="D176" s="10"/>
    </row>
    <row r="177" spans="1:4" x14ac:dyDescent="0.25">
      <c r="A177" s="180" t="s">
        <v>90</v>
      </c>
      <c r="B177" s="181">
        <v>3</v>
      </c>
      <c r="C177" s="192" t="s">
        <v>85</v>
      </c>
      <c r="D177" s="10"/>
    </row>
    <row r="178" spans="1:4" x14ac:dyDescent="0.25">
      <c r="A178" s="180" t="s">
        <v>49</v>
      </c>
      <c r="B178" s="181">
        <v>7</v>
      </c>
      <c r="C178" s="192" t="s">
        <v>122</v>
      </c>
      <c r="D178" s="51"/>
    </row>
    <row r="179" spans="1:4" x14ac:dyDescent="0.25">
      <c r="A179" s="50"/>
      <c r="B179" s="50"/>
      <c r="C179" s="191" t="s">
        <v>33</v>
      </c>
      <c r="D179" s="51"/>
    </row>
    <row r="180" spans="1:4" x14ac:dyDescent="0.25">
      <c r="A180" s="180" t="s">
        <v>42</v>
      </c>
      <c r="B180" s="181">
        <v>2</v>
      </c>
      <c r="C180" s="190" t="s">
        <v>71</v>
      </c>
      <c r="D180" s="51"/>
    </row>
    <row r="181" spans="1:4" x14ac:dyDescent="0.25">
      <c r="A181" s="180" t="s">
        <v>90</v>
      </c>
      <c r="B181" s="181">
        <v>3</v>
      </c>
      <c r="C181" s="192" t="s">
        <v>85</v>
      </c>
      <c r="D181" s="179"/>
    </row>
    <row r="182" spans="1:4" ht="14.25" thickBot="1" x14ac:dyDescent="0.3">
      <c r="A182" s="180" t="s">
        <v>49</v>
      </c>
      <c r="B182" s="181">
        <v>22</v>
      </c>
      <c r="C182" s="192" t="s">
        <v>122</v>
      </c>
      <c r="D182" s="179"/>
    </row>
    <row r="183" spans="1:4" ht="14.25" thickBot="1" x14ac:dyDescent="0.3">
      <c r="A183" s="12" t="s">
        <v>21</v>
      </c>
      <c r="B183" s="12">
        <f>SUM(B167:B182)</f>
        <v>90</v>
      </c>
      <c r="C183" s="194" t="s">
        <v>28</v>
      </c>
      <c r="D183" s="13"/>
    </row>
    <row r="184" spans="1:4" ht="14.25" x14ac:dyDescent="0.3">
      <c r="A184" s="14"/>
      <c r="B184" s="14"/>
      <c r="C184" s="195"/>
      <c r="D184" s="14"/>
    </row>
  </sheetData>
  <dataValidations count="3">
    <dataValidation type="whole" errorStyle="warning" operator="greaterThan" allowBlank="1" showInputMessage="1" showErrorMessage="1" errorTitle="Durée en 1/3 de période" error="Le nombre doit être de type entier" sqref="B127:B142 B147:B162 B89:B102 B107:B122 B3:B26 B58:B80 B85:B87 B167:B182 B31:B53" xr:uid="{E38F8F23-8563-4EE9-9944-6656C21BF420}">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7 B54 B81 B103 B123 B143 B163 B183" xr:uid="{2272AD4B-3461-4537-A983-18B3BDA761BE}">
      <formula1>0</formula1>
      <formula2>NbPerWeek * NbQuartPer</formula2>
    </dataValidation>
    <dataValidation type="list" allowBlank="1" showInputMessage="1" showErrorMessage="1" sqref="A107:A122 A127:A142 A147:A162 A85:A102 A3:A26 A58:A80 A167:A182 A31:A53" xr:uid="{2C7CB938-7CF2-449F-9669-C583380E3C44}">
      <formula1>lstTasks</formula1>
    </dataValidation>
  </dataValidations>
  <pageMargins left="0.70866141732283472" right="0.70866141732283472" top="0.74803149606299213" bottom="0.74803149606299213" header="0.31496062992125984" footer="0.31496062992125984"/>
  <pageSetup paperSize="9" scale="69" fitToHeight="0" orientation="portrait" r:id="rId1"/>
  <rowBreaks count="2" manualBreakCount="2">
    <brk id="104" max="16383" man="1"/>
    <brk id="164"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2023-01-30T08:20:09Z</cp:lastPrinted>
  <dcterms:created xsi:type="dcterms:W3CDTF">1996-10-21T11:03:58Z</dcterms:created>
  <dcterms:modified xsi:type="dcterms:W3CDTF">2023-02-09T15:31:00Z</dcterms:modified>
</cp:coreProperties>
</file>