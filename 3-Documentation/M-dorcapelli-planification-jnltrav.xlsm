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67A7EEFC-ECC0-4236-AFB0-2AA751440FE9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JNLTRAV!$A$1:$D$26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60" l="1"/>
  <c r="B19" i="160"/>
  <c r="B17" i="160"/>
  <c r="B15" i="160"/>
  <c r="B13" i="160"/>
  <c r="B11" i="160"/>
  <c r="B9" i="160"/>
  <c r="B7" i="160"/>
  <c r="B5" i="160"/>
  <c r="C24" i="160"/>
  <c r="C23" i="160"/>
  <c r="B84" i="157"/>
  <c r="B100" i="157"/>
  <c r="B116" i="157"/>
  <c r="B132" i="157"/>
  <c r="B148" i="157"/>
  <c r="B68" i="157"/>
  <c r="B62" i="157"/>
  <c r="AE2" i="159"/>
  <c r="G2" i="159"/>
  <c r="K2" i="159"/>
  <c r="O2" i="159" s="1"/>
  <c r="S2" i="159" s="1"/>
  <c r="W2" i="159" s="1"/>
  <c r="AA2" i="159" s="1"/>
  <c r="AI2" i="159" s="1"/>
  <c r="B46" i="157"/>
  <c r="B29" i="157"/>
  <c r="B69" i="156" l="1"/>
  <c r="D1" i="156"/>
  <c r="D27" i="156" s="1"/>
  <c r="D46" i="156" s="1"/>
  <c r="D65" i="156" s="1"/>
  <c r="D71" i="156" s="1"/>
  <c r="D90" i="156" s="1"/>
  <c r="D109" i="156" s="1"/>
  <c r="D128" i="156" s="1"/>
  <c r="D147" i="156" s="1"/>
  <c r="B164" i="156"/>
  <c r="B145" i="156"/>
  <c r="B126" i="156"/>
  <c r="B107" i="156"/>
  <c r="B88" i="156"/>
  <c r="B63" i="156"/>
  <c r="B44" i="156"/>
  <c r="B25" i="156"/>
  <c r="C12" i="7" l="1"/>
  <c r="B18" i="154" l="1"/>
  <c r="B13" i="11" l="1"/>
</calcChain>
</file>

<file path=xl/sharedStrings.xml><?xml version="1.0" encoding="utf-8"?>
<sst xmlns="http://schemas.openxmlformats.org/spreadsheetml/2006/main" count="337" uniqueCount="78">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</sst>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3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65" t="s">
        <v>18</v>
      </c>
      <c r="C19" s="166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43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71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34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44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45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46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47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70" t="s">
        <v>48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 t="s">
        <v>49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50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C5EE-55CD-4866-A40C-9C4F2B7D9538}">
  <sheetPr codeName="Feuil7"/>
  <dimension ref="A1:AEG24"/>
  <sheetViews>
    <sheetView zoomScale="85" zoomScaleNormal="85" workbookViewId="0">
      <selection activeCell="NS28" sqref="NS28:NT28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273" width="1.5703125" style="94"/>
    <col min="274" max="363" width="0" style="94" hidden="1" customWidth="1"/>
    <col min="36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67" t="s">
        <v>53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9"/>
      <c r="CP2" s="167" t="s">
        <v>54</v>
      </c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9"/>
      <c r="GB2" s="167" t="s">
        <v>55</v>
      </c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9"/>
      <c r="JN2" s="167" t="s">
        <v>56</v>
      </c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8"/>
      <c r="KD2" s="168"/>
      <c r="KE2" s="168"/>
      <c r="KF2" s="168"/>
      <c r="KG2" s="168"/>
      <c r="KH2" s="168"/>
      <c r="KI2" s="168"/>
      <c r="KJ2" s="168"/>
      <c r="KK2" s="168"/>
      <c r="KL2" s="168"/>
      <c r="KM2" s="168"/>
      <c r="KN2" s="168"/>
      <c r="KO2" s="168"/>
      <c r="KP2" s="168"/>
      <c r="KQ2" s="168"/>
      <c r="KR2" s="168"/>
      <c r="KS2" s="168"/>
      <c r="KT2" s="168"/>
      <c r="KU2" s="168"/>
      <c r="KV2" s="168"/>
      <c r="KW2" s="168"/>
      <c r="KX2" s="168"/>
      <c r="KY2" s="168"/>
      <c r="KZ2" s="168"/>
      <c r="LA2" s="168"/>
      <c r="LB2" s="168"/>
      <c r="LC2" s="168"/>
      <c r="LD2" s="168"/>
      <c r="LE2" s="168"/>
      <c r="LF2" s="168"/>
      <c r="LG2" s="168"/>
      <c r="LH2" s="168"/>
      <c r="LI2" s="168"/>
      <c r="LJ2" s="168"/>
      <c r="LK2" s="168"/>
      <c r="LL2" s="168"/>
      <c r="LM2" s="168"/>
      <c r="LN2" s="168"/>
      <c r="LO2" s="168"/>
      <c r="LP2" s="168"/>
      <c r="LQ2" s="168"/>
      <c r="LR2" s="168"/>
      <c r="LS2" s="168"/>
      <c r="LT2" s="168"/>
      <c r="LU2" s="168"/>
      <c r="LV2" s="168"/>
      <c r="LW2" s="168"/>
      <c r="LX2" s="168"/>
      <c r="LY2" s="168"/>
      <c r="LZ2" s="168"/>
      <c r="MA2" s="168"/>
      <c r="MB2" s="168"/>
      <c r="MC2" s="168"/>
      <c r="MD2" s="168"/>
      <c r="ME2" s="168"/>
      <c r="MF2" s="168"/>
      <c r="MG2" s="168"/>
      <c r="MH2" s="168"/>
      <c r="MI2" s="168"/>
      <c r="MJ2" s="168"/>
      <c r="MK2" s="168"/>
      <c r="ML2" s="168"/>
      <c r="MM2" s="168"/>
      <c r="MN2" s="168"/>
      <c r="MO2" s="168"/>
      <c r="MP2" s="168"/>
      <c r="MQ2" s="168"/>
      <c r="MR2" s="168"/>
      <c r="MS2" s="168"/>
      <c r="MT2" s="168"/>
      <c r="MU2" s="168"/>
      <c r="MV2" s="168"/>
      <c r="MW2" s="168"/>
      <c r="MX2" s="168"/>
      <c r="MY2" s="169"/>
      <c r="MZ2" s="167" t="s">
        <v>57</v>
      </c>
      <c r="NA2" s="168"/>
      <c r="NB2" s="168"/>
      <c r="NC2" s="168"/>
      <c r="ND2" s="168"/>
      <c r="NE2" s="168"/>
      <c r="NF2" s="168"/>
      <c r="NG2" s="168"/>
      <c r="NH2" s="168"/>
      <c r="NI2" s="168"/>
      <c r="NJ2" s="168"/>
      <c r="NK2" s="168"/>
      <c r="NL2" s="168"/>
      <c r="NM2" s="168"/>
      <c r="NN2" s="168"/>
      <c r="NO2" s="168"/>
      <c r="NP2" s="168"/>
      <c r="NQ2" s="168"/>
      <c r="NR2" s="168"/>
      <c r="NS2" s="168"/>
      <c r="NT2" s="168"/>
      <c r="NU2" s="168"/>
      <c r="NV2" s="168"/>
      <c r="NW2" s="168"/>
      <c r="NX2" s="168"/>
      <c r="NY2" s="168"/>
      <c r="NZ2" s="168"/>
      <c r="OA2" s="168"/>
      <c r="OB2" s="168"/>
      <c r="OC2" s="168"/>
      <c r="OD2" s="168"/>
      <c r="OE2" s="168"/>
      <c r="OF2" s="168"/>
      <c r="OG2" s="168"/>
      <c r="OH2" s="168"/>
      <c r="OI2" s="168"/>
      <c r="OJ2" s="168"/>
      <c r="OK2" s="168"/>
      <c r="OL2" s="168"/>
      <c r="OM2" s="168"/>
      <c r="ON2" s="168"/>
      <c r="OO2" s="168"/>
      <c r="OP2" s="168"/>
      <c r="OQ2" s="168"/>
      <c r="OR2" s="168"/>
      <c r="OS2" s="168"/>
      <c r="OT2" s="168"/>
      <c r="OU2" s="168"/>
      <c r="OV2" s="168"/>
      <c r="OW2" s="168"/>
      <c r="OX2" s="168"/>
      <c r="OY2" s="168"/>
      <c r="OZ2" s="168"/>
      <c r="PA2" s="168"/>
      <c r="PB2" s="168"/>
      <c r="PC2" s="168"/>
      <c r="PD2" s="168"/>
      <c r="PE2" s="168"/>
      <c r="PF2" s="168"/>
      <c r="PG2" s="168"/>
      <c r="PH2" s="168"/>
      <c r="PI2" s="168"/>
      <c r="PJ2" s="168"/>
      <c r="PK2" s="168"/>
      <c r="PL2" s="168"/>
      <c r="PM2" s="168"/>
      <c r="PN2" s="168"/>
      <c r="PO2" s="168"/>
      <c r="PP2" s="168"/>
      <c r="PQ2" s="168"/>
      <c r="PR2" s="168"/>
      <c r="PS2" s="168"/>
      <c r="PT2" s="168"/>
      <c r="PU2" s="168"/>
      <c r="PV2" s="168"/>
      <c r="PW2" s="168"/>
      <c r="PX2" s="168"/>
      <c r="PY2" s="168"/>
      <c r="PZ2" s="168"/>
      <c r="QA2" s="168"/>
      <c r="QB2" s="168"/>
      <c r="QC2" s="168"/>
      <c r="QD2" s="168"/>
      <c r="QE2" s="168"/>
      <c r="QF2" s="168"/>
      <c r="QG2" s="168"/>
      <c r="QH2" s="168"/>
      <c r="QI2" s="168"/>
      <c r="QJ2" s="168"/>
      <c r="QK2" s="169"/>
      <c r="QL2" s="167" t="s">
        <v>58</v>
      </c>
      <c r="QM2" s="168"/>
      <c r="QN2" s="168"/>
      <c r="QO2" s="168"/>
      <c r="QP2" s="168"/>
      <c r="QQ2" s="168"/>
      <c r="QR2" s="168"/>
      <c r="QS2" s="168"/>
      <c r="QT2" s="168"/>
      <c r="QU2" s="168"/>
      <c r="QV2" s="168"/>
      <c r="QW2" s="168"/>
      <c r="QX2" s="168"/>
      <c r="QY2" s="168"/>
      <c r="QZ2" s="168"/>
      <c r="RA2" s="168"/>
      <c r="RB2" s="168"/>
      <c r="RC2" s="168"/>
      <c r="RD2" s="168"/>
      <c r="RE2" s="168"/>
      <c r="RF2" s="168"/>
      <c r="RG2" s="168"/>
      <c r="RH2" s="168"/>
      <c r="RI2" s="168"/>
      <c r="RJ2" s="168"/>
      <c r="RK2" s="168"/>
      <c r="RL2" s="168"/>
      <c r="RM2" s="168"/>
      <c r="RN2" s="168"/>
      <c r="RO2" s="168"/>
      <c r="RP2" s="168"/>
      <c r="RQ2" s="168"/>
      <c r="RR2" s="168"/>
      <c r="RS2" s="168"/>
      <c r="RT2" s="168"/>
      <c r="RU2" s="168"/>
      <c r="RV2" s="168"/>
      <c r="RW2" s="168"/>
      <c r="RX2" s="168"/>
      <c r="RY2" s="168"/>
      <c r="RZ2" s="168"/>
      <c r="SA2" s="168"/>
      <c r="SB2" s="168"/>
      <c r="SC2" s="168"/>
      <c r="SD2" s="168"/>
      <c r="SE2" s="168"/>
      <c r="SF2" s="168"/>
      <c r="SG2" s="168"/>
      <c r="SH2" s="168"/>
      <c r="SI2" s="168"/>
      <c r="SJ2" s="168"/>
      <c r="SK2" s="168"/>
      <c r="SL2" s="168"/>
      <c r="SM2" s="168"/>
      <c r="SN2" s="168"/>
      <c r="SO2" s="168"/>
      <c r="SP2" s="168"/>
      <c r="SQ2" s="168"/>
      <c r="SR2" s="168"/>
      <c r="SS2" s="168"/>
      <c r="ST2" s="168"/>
      <c r="SU2" s="168"/>
      <c r="SV2" s="168"/>
      <c r="SW2" s="168"/>
      <c r="SX2" s="168"/>
      <c r="SY2" s="168"/>
      <c r="SZ2" s="168"/>
      <c r="TA2" s="168"/>
      <c r="TB2" s="168"/>
      <c r="TC2" s="168"/>
      <c r="TD2" s="168"/>
      <c r="TE2" s="168"/>
      <c r="TF2" s="168"/>
      <c r="TG2" s="168"/>
      <c r="TH2" s="168"/>
      <c r="TI2" s="168"/>
      <c r="TJ2" s="168"/>
      <c r="TK2" s="168"/>
      <c r="TL2" s="168"/>
      <c r="TM2" s="168"/>
      <c r="TN2" s="168"/>
      <c r="TO2" s="168"/>
      <c r="TP2" s="168"/>
      <c r="TQ2" s="168"/>
      <c r="TR2" s="168"/>
      <c r="TS2" s="168"/>
      <c r="TT2" s="168"/>
      <c r="TU2" s="168"/>
      <c r="TV2" s="168"/>
      <c r="TW2" s="169"/>
      <c r="TX2" s="167" t="s">
        <v>59</v>
      </c>
      <c r="TY2" s="168"/>
      <c r="TZ2" s="168"/>
      <c r="UA2" s="168"/>
      <c r="UB2" s="168"/>
      <c r="UC2" s="168"/>
      <c r="UD2" s="168"/>
      <c r="UE2" s="168"/>
      <c r="UF2" s="168"/>
      <c r="UG2" s="168"/>
      <c r="UH2" s="168"/>
      <c r="UI2" s="168"/>
      <c r="UJ2" s="168"/>
      <c r="UK2" s="168"/>
      <c r="UL2" s="168"/>
      <c r="UM2" s="168"/>
      <c r="UN2" s="168"/>
      <c r="UO2" s="168"/>
      <c r="UP2" s="168"/>
      <c r="UQ2" s="168"/>
      <c r="UR2" s="168"/>
      <c r="US2" s="168"/>
      <c r="UT2" s="168"/>
      <c r="UU2" s="168"/>
      <c r="UV2" s="168"/>
      <c r="UW2" s="168"/>
      <c r="UX2" s="168"/>
      <c r="UY2" s="168"/>
      <c r="UZ2" s="168"/>
      <c r="VA2" s="168"/>
      <c r="VB2" s="168"/>
      <c r="VC2" s="168"/>
      <c r="VD2" s="168"/>
      <c r="VE2" s="168"/>
      <c r="VF2" s="168"/>
      <c r="VG2" s="168"/>
      <c r="VH2" s="168"/>
      <c r="VI2" s="168"/>
      <c r="VJ2" s="168"/>
      <c r="VK2" s="168"/>
      <c r="VL2" s="168"/>
      <c r="VM2" s="168"/>
      <c r="VN2" s="168"/>
      <c r="VO2" s="168"/>
      <c r="VP2" s="168"/>
      <c r="VQ2" s="168"/>
      <c r="VR2" s="168"/>
      <c r="VS2" s="168"/>
      <c r="VT2" s="168"/>
      <c r="VU2" s="168"/>
      <c r="VV2" s="168"/>
      <c r="VW2" s="168"/>
      <c r="VX2" s="168"/>
      <c r="VY2" s="168"/>
      <c r="VZ2" s="168"/>
      <c r="WA2" s="168"/>
      <c r="WB2" s="168"/>
      <c r="WC2" s="168"/>
      <c r="WD2" s="168"/>
      <c r="WE2" s="168"/>
      <c r="WF2" s="168"/>
      <c r="WG2" s="168"/>
      <c r="WH2" s="168"/>
      <c r="WI2" s="168"/>
      <c r="WJ2" s="168"/>
      <c r="WK2" s="168"/>
      <c r="WL2" s="168"/>
      <c r="WM2" s="168"/>
      <c r="WN2" s="168"/>
      <c r="WO2" s="168"/>
      <c r="WP2" s="168"/>
      <c r="WQ2" s="168"/>
      <c r="WR2" s="168"/>
      <c r="WS2" s="168"/>
      <c r="WT2" s="168"/>
      <c r="WU2" s="168"/>
      <c r="WV2" s="168"/>
      <c r="WW2" s="168"/>
      <c r="WX2" s="168"/>
      <c r="WY2" s="168"/>
      <c r="WZ2" s="168"/>
      <c r="XA2" s="168"/>
      <c r="XB2" s="168"/>
      <c r="XC2" s="168"/>
      <c r="XD2" s="168"/>
      <c r="XE2" s="168"/>
      <c r="XF2" s="168"/>
      <c r="XG2" s="168"/>
      <c r="XH2" s="168"/>
      <c r="XI2" s="169"/>
      <c r="XJ2" s="167" t="s">
        <v>60</v>
      </c>
      <c r="XK2" s="168"/>
      <c r="XL2" s="168"/>
      <c r="XM2" s="168"/>
      <c r="XN2" s="168"/>
      <c r="XO2" s="168"/>
      <c r="XP2" s="168"/>
      <c r="XQ2" s="168"/>
      <c r="XR2" s="168"/>
      <c r="XS2" s="168"/>
      <c r="XT2" s="168"/>
      <c r="XU2" s="168"/>
      <c r="XV2" s="168"/>
      <c r="XW2" s="168"/>
      <c r="XX2" s="168"/>
      <c r="XY2" s="168"/>
      <c r="XZ2" s="168"/>
      <c r="YA2" s="168"/>
      <c r="YB2" s="168"/>
      <c r="YC2" s="168"/>
      <c r="YD2" s="168"/>
      <c r="YE2" s="168"/>
      <c r="YF2" s="168"/>
      <c r="YG2" s="168"/>
      <c r="YH2" s="168"/>
      <c r="YI2" s="168"/>
      <c r="YJ2" s="168"/>
      <c r="YK2" s="168"/>
      <c r="YL2" s="168"/>
      <c r="YM2" s="168"/>
      <c r="YN2" s="168"/>
      <c r="YO2" s="168"/>
      <c r="YP2" s="168"/>
      <c r="YQ2" s="168"/>
      <c r="YR2" s="168"/>
      <c r="YS2" s="168"/>
      <c r="YT2" s="168"/>
      <c r="YU2" s="168"/>
      <c r="YV2" s="168"/>
      <c r="YW2" s="168"/>
      <c r="YX2" s="168"/>
      <c r="YY2" s="168"/>
      <c r="YZ2" s="168"/>
      <c r="ZA2" s="168"/>
      <c r="ZB2" s="168"/>
      <c r="ZC2" s="168"/>
      <c r="ZD2" s="168"/>
      <c r="ZE2" s="168"/>
      <c r="ZF2" s="168"/>
      <c r="ZG2" s="168"/>
      <c r="ZH2" s="168"/>
      <c r="ZI2" s="168"/>
      <c r="ZJ2" s="168"/>
      <c r="ZK2" s="168"/>
      <c r="ZL2" s="168"/>
      <c r="ZM2" s="168"/>
      <c r="ZN2" s="168"/>
      <c r="ZO2" s="168"/>
      <c r="ZP2" s="168"/>
      <c r="ZQ2" s="168"/>
      <c r="ZR2" s="168"/>
      <c r="ZS2" s="168"/>
      <c r="ZT2" s="168"/>
      <c r="ZU2" s="168"/>
      <c r="ZV2" s="168"/>
      <c r="ZW2" s="168"/>
      <c r="ZX2" s="168"/>
      <c r="ZY2" s="168"/>
      <c r="ZZ2" s="168"/>
      <c r="AAA2" s="168"/>
      <c r="AAB2" s="168"/>
      <c r="AAC2" s="168"/>
      <c r="AAD2" s="168"/>
      <c r="AAE2" s="168"/>
      <c r="AAF2" s="168"/>
      <c r="AAG2" s="168"/>
      <c r="AAH2" s="168"/>
      <c r="AAI2" s="168"/>
      <c r="AAJ2" s="168"/>
      <c r="AAK2" s="168"/>
      <c r="AAL2" s="168"/>
      <c r="AAM2" s="168"/>
      <c r="AAN2" s="168"/>
      <c r="AAO2" s="168"/>
      <c r="AAP2" s="168"/>
      <c r="AAQ2" s="168"/>
      <c r="AAR2" s="168"/>
      <c r="AAS2" s="168"/>
      <c r="AAT2" s="168"/>
      <c r="AAU2" s="169"/>
      <c r="AAV2" s="167" t="s">
        <v>61</v>
      </c>
      <c r="AAW2" s="168"/>
      <c r="AAX2" s="168"/>
      <c r="AAY2" s="168"/>
      <c r="AAZ2" s="168"/>
      <c r="ABA2" s="168"/>
      <c r="ABB2" s="168"/>
      <c r="ABC2" s="168"/>
      <c r="ABD2" s="168"/>
      <c r="ABE2" s="168"/>
      <c r="ABF2" s="168"/>
      <c r="ABG2" s="168"/>
      <c r="ABH2" s="168"/>
      <c r="ABI2" s="168"/>
      <c r="ABJ2" s="168"/>
      <c r="ABK2" s="168"/>
      <c r="ABL2" s="168"/>
      <c r="ABM2" s="168"/>
      <c r="ABN2" s="168"/>
      <c r="ABO2" s="168"/>
      <c r="ABP2" s="168"/>
      <c r="ABQ2" s="168"/>
      <c r="ABR2" s="168"/>
      <c r="ABS2" s="168"/>
      <c r="ABT2" s="168"/>
      <c r="ABU2" s="168"/>
      <c r="ABV2" s="168"/>
      <c r="ABW2" s="168"/>
      <c r="ABX2" s="168"/>
      <c r="ABY2" s="168"/>
      <c r="ABZ2" s="168"/>
      <c r="ACA2" s="168"/>
      <c r="ACB2" s="168"/>
      <c r="ACC2" s="168"/>
      <c r="ACD2" s="168"/>
      <c r="ACE2" s="168"/>
      <c r="ACF2" s="168"/>
      <c r="ACG2" s="168"/>
      <c r="ACH2" s="168"/>
      <c r="ACI2" s="168"/>
      <c r="ACJ2" s="168"/>
      <c r="ACK2" s="168"/>
      <c r="ACL2" s="168"/>
      <c r="ACM2" s="168"/>
      <c r="ACN2" s="168"/>
      <c r="ACO2" s="168"/>
      <c r="ACP2" s="168"/>
      <c r="ACQ2" s="168"/>
      <c r="ACR2" s="168"/>
      <c r="ACS2" s="168"/>
      <c r="ACT2" s="168"/>
      <c r="ACU2" s="168"/>
      <c r="ACV2" s="168"/>
      <c r="ACW2" s="168"/>
      <c r="ACX2" s="168"/>
      <c r="ACY2" s="168"/>
      <c r="ACZ2" s="168"/>
      <c r="ADA2" s="168"/>
      <c r="ADB2" s="168"/>
      <c r="ADC2" s="168"/>
      <c r="ADD2" s="168"/>
      <c r="ADE2" s="168"/>
      <c r="ADF2" s="168"/>
      <c r="ADG2" s="168"/>
      <c r="ADH2" s="168"/>
      <c r="ADI2" s="168"/>
      <c r="ADJ2" s="168"/>
      <c r="ADK2" s="168"/>
      <c r="ADL2" s="168"/>
      <c r="ADM2" s="168"/>
      <c r="ADN2" s="168"/>
      <c r="ADO2" s="168"/>
      <c r="ADP2" s="168"/>
      <c r="ADQ2" s="168"/>
      <c r="ADR2" s="168"/>
      <c r="ADS2" s="168"/>
      <c r="ADT2" s="168"/>
      <c r="ADU2" s="168"/>
      <c r="ADV2" s="168"/>
      <c r="ADW2" s="168"/>
      <c r="ADX2" s="168"/>
      <c r="ADY2" s="168"/>
      <c r="ADZ2" s="168"/>
      <c r="AEA2" s="168"/>
      <c r="AEB2" s="168"/>
      <c r="AEC2" s="168"/>
      <c r="AED2" s="168"/>
      <c r="AEE2" s="168"/>
      <c r="AEF2" s="168"/>
      <c r="AEG2" s="169"/>
    </row>
    <row r="3" spans="1:813" ht="19.5" customHeight="1" x14ac:dyDescent="0.25">
      <c r="A3" s="96"/>
      <c r="B3" s="172" t="s">
        <v>20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73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08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74" t="str">
        <f>Donnees!$C$21</f>
        <v>Rédaction JNLTRAV / Rapport / Présentation</v>
      </c>
      <c r="C5" s="111">
        <v>8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63"/>
      <c r="AI5" s="161"/>
      <c r="AJ5" s="162"/>
      <c r="AK5" s="163"/>
      <c r="AL5" s="161"/>
      <c r="AM5" s="162"/>
      <c r="AN5" s="16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6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71"/>
      <c r="C6" s="112">
        <v>4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57"/>
      <c r="R6" s="158"/>
      <c r="S6" s="159"/>
      <c r="T6" s="157"/>
      <c r="U6" s="108"/>
      <c r="V6" s="109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70" t="str">
        <f>Donnees!$C$22</f>
        <v>Vacances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71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70" t="str">
        <f>Donnees!$C$23</f>
        <v>INFORMER : Analyse du projet</v>
      </c>
      <c r="C9" s="111">
        <v>7</v>
      </c>
      <c r="D9" s="160"/>
      <c r="E9" s="161"/>
      <c r="F9" s="162"/>
      <c r="G9" s="16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63"/>
      <c r="BY9" s="161"/>
      <c r="BZ9" s="16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71"/>
      <c r="C10" s="112">
        <v>4</v>
      </c>
      <c r="D10" s="156"/>
      <c r="E10" s="157"/>
      <c r="F10" s="158"/>
      <c r="G10" s="15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70" t="str">
        <f>Donnees!$C$24</f>
        <v>PLANIFIER : Découper en tâches et concevoir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71"/>
      <c r="C12" s="112">
        <v>0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70" t="str">
        <f>Donnees!$C$25</f>
        <v>DECIDER : données, interfaces, langage, etc.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71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70" t="str">
        <f>Donnees!$C$26</f>
        <v>REALISER : Data (Collecte, Modélisation), Programmation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71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70" t="str">
        <f>Donnees!$C$27</f>
        <v>TESTER : mise en commun des réalisations</v>
      </c>
      <c r="C17" s="111">
        <v>56</v>
      </c>
      <c r="D17" s="100"/>
      <c r="E17" s="101"/>
      <c r="F17" s="102"/>
      <c r="G17" s="103"/>
      <c r="H17" s="161"/>
      <c r="I17" s="162"/>
      <c r="J17" s="163"/>
      <c r="K17" s="161"/>
      <c r="L17" s="162"/>
      <c r="M17" s="103"/>
      <c r="N17" s="101"/>
      <c r="O17" s="102"/>
      <c r="P17" s="103"/>
      <c r="Q17" s="161"/>
      <c r="R17" s="162"/>
      <c r="S17" s="163"/>
      <c r="T17" s="161"/>
      <c r="U17" s="162"/>
      <c r="V17" s="163"/>
      <c r="W17" s="161"/>
      <c r="X17" s="162"/>
      <c r="Y17" s="163"/>
      <c r="Z17" s="161"/>
      <c r="AA17" s="162"/>
      <c r="AB17" s="163"/>
      <c r="AC17" s="161"/>
      <c r="AD17" s="162"/>
      <c r="AE17" s="163"/>
      <c r="AF17" s="161"/>
      <c r="AG17" s="162"/>
      <c r="AH17" s="103"/>
      <c r="AI17" s="101"/>
      <c r="AJ17" s="102"/>
      <c r="AK17" s="103"/>
      <c r="AL17" s="101"/>
      <c r="AM17" s="102"/>
      <c r="AN17" s="103"/>
      <c r="AO17" s="161"/>
      <c r="AP17" s="162"/>
      <c r="AQ17" s="163"/>
      <c r="AR17" s="161"/>
      <c r="AS17" s="162"/>
      <c r="AT17" s="163"/>
      <c r="AU17" s="161"/>
      <c r="AV17" s="162"/>
      <c r="AW17" s="163"/>
      <c r="AX17" s="161"/>
      <c r="AY17" s="162"/>
      <c r="AZ17" s="103"/>
      <c r="BA17" s="161"/>
      <c r="BB17" s="162"/>
      <c r="BC17" s="163"/>
      <c r="BD17" s="161"/>
      <c r="BE17" s="162"/>
      <c r="BF17" s="163"/>
      <c r="BG17" s="161"/>
      <c r="BH17" s="162"/>
      <c r="BI17" s="163"/>
      <c r="BJ17" s="161"/>
      <c r="BK17" s="162"/>
      <c r="BL17" s="163"/>
      <c r="BM17" s="161"/>
      <c r="BN17" s="162"/>
      <c r="BO17" s="163"/>
      <c r="BP17" s="161"/>
      <c r="BQ17" s="162"/>
      <c r="BR17" s="163"/>
      <c r="BS17" s="161"/>
      <c r="BT17" s="162"/>
      <c r="BU17" s="163"/>
      <c r="BV17" s="161"/>
      <c r="BW17" s="16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71"/>
      <c r="C18" s="112">
        <v>5</v>
      </c>
      <c r="D18" s="106"/>
      <c r="E18" s="107"/>
      <c r="F18" s="108"/>
      <c r="G18" s="109"/>
      <c r="H18" s="157"/>
      <c r="I18" s="158"/>
      <c r="J18" s="159"/>
      <c r="K18" s="157"/>
      <c r="L18" s="15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70" t="str">
        <f>Donnees!$C$28</f>
        <v>EVALUER : voir cahier des charges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71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70" t="str">
        <f>Donnees!$C$29</f>
        <v>Autre</v>
      </c>
      <c r="C21" s="111">
        <v>4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63"/>
      <c r="N21" s="161"/>
      <c r="O21" s="162"/>
      <c r="P21" s="16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x14ac:dyDescent="0.25">
      <c r="B22" s="171"/>
      <c r="C22" s="112">
        <v>4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59"/>
      <c r="N22" s="157"/>
      <c r="O22" s="158"/>
      <c r="P22" s="15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14" t="s">
        <v>15</v>
      </c>
      <c r="C23" s="115">
        <f>SUM($C$3,$C$5,$C$7,$C$9,$C$11,$C$13,$C$15,$C$17,$C$19,$C$21)</f>
        <v>75</v>
      </c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7"/>
      <c r="CC23" s="117"/>
      <c r="CD23" s="117"/>
      <c r="CE23" s="117"/>
      <c r="CF23" s="117"/>
      <c r="CG23" s="117"/>
      <c r="CH23" s="117"/>
      <c r="CI23" s="117"/>
      <c r="CJ23" s="117"/>
      <c r="CK23" s="117"/>
      <c r="CL23" s="117"/>
      <c r="CM23" s="117"/>
      <c r="CN23" s="117"/>
      <c r="CO23" s="118"/>
      <c r="CP23" s="116"/>
      <c r="CQ23" s="117"/>
      <c r="CR23" s="117"/>
      <c r="CS23" s="117"/>
      <c r="CT23" s="117"/>
      <c r="CU23" s="117"/>
      <c r="CV23" s="117"/>
      <c r="CW23" s="117"/>
      <c r="CX23" s="117"/>
      <c r="CY23" s="117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8"/>
      <c r="GB23" s="116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8"/>
      <c r="JN23" s="116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  <c r="KO23" s="117"/>
      <c r="KP23" s="117"/>
      <c r="KQ23" s="117"/>
      <c r="KR23" s="117"/>
      <c r="KS23" s="117"/>
      <c r="KT23" s="117"/>
      <c r="KU23" s="117"/>
      <c r="KV23" s="117"/>
      <c r="KW23" s="117"/>
      <c r="KX23" s="117"/>
      <c r="KY23" s="117"/>
      <c r="KZ23" s="117"/>
      <c r="LA23" s="117"/>
      <c r="LB23" s="117"/>
      <c r="LC23" s="117"/>
      <c r="LD23" s="117"/>
      <c r="LE23" s="117"/>
      <c r="LF23" s="117"/>
      <c r="LG23" s="117"/>
      <c r="LH23" s="117"/>
      <c r="LI23" s="117"/>
      <c r="LJ23" s="117"/>
      <c r="LK23" s="117"/>
      <c r="LL23" s="117"/>
      <c r="LM23" s="117"/>
      <c r="LN23" s="117"/>
      <c r="LO23" s="117"/>
      <c r="LP23" s="117"/>
      <c r="LQ23" s="117"/>
      <c r="LR23" s="117"/>
      <c r="LS23" s="117"/>
      <c r="LT23" s="117"/>
      <c r="LU23" s="117"/>
      <c r="LV23" s="117"/>
      <c r="LW23" s="117"/>
      <c r="LX23" s="117"/>
      <c r="LY23" s="117"/>
      <c r="LZ23" s="117"/>
      <c r="MA23" s="117"/>
      <c r="MB23" s="117"/>
      <c r="MC23" s="117"/>
      <c r="MD23" s="117"/>
      <c r="ME23" s="117"/>
      <c r="MF23" s="117"/>
      <c r="MG23" s="117"/>
      <c r="MH23" s="117"/>
      <c r="MI23" s="117"/>
      <c r="MJ23" s="117"/>
      <c r="MK23" s="117"/>
      <c r="ML23" s="117"/>
      <c r="MM23" s="117"/>
      <c r="MN23" s="117"/>
      <c r="MO23" s="117"/>
      <c r="MP23" s="117"/>
      <c r="MQ23" s="117"/>
      <c r="MR23" s="117"/>
      <c r="MS23" s="117"/>
      <c r="MT23" s="117"/>
      <c r="MU23" s="117"/>
      <c r="MV23" s="117"/>
      <c r="MW23" s="117"/>
      <c r="MX23" s="117"/>
      <c r="MY23" s="118"/>
      <c r="MZ23" s="116"/>
      <c r="NA23" s="117"/>
      <c r="NB23" s="117"/>
      <c r="NC23" s="117"/>
      <c r="ND23" s="117"/>
      <c r="NE23" s="117"/>
      <c r="NF23" s="117"/>
      <c r="NG23" s="117"/>
      <c r="NH23" s="117"/>
      <c r="NI23" s="117"/>
      <c r="NJ23" s="117"/>
      <c r="NK23" s="117"/>
      <c r="NL23" s="117"/>
      <c r="NM23" s="117"/>
      <c r="NN23" s="117"/>
      <c r="NO23" s="117"/>
      <c r="NP23" s="117"/>
      <c r="NQ23" s="117"/>
      <c r="NR23" s="117"/>
      <c r="NS23" s="117"/>
      <c r="NT23" s="117"/>
      <c r="NU23" s="117"/>
      <c r="NV23" s="117"/>
      <c r="NW23" s="117"/>
      <c r="NX23" s="117"/>
      <c r="NY23" s="117"/>
      <c r="NZ23" s="117"/>
      <c r="OA23" s="117"/>
      <c r="OB23" s="117"/>
      <c r="OC23" s="117"/>
      <c r="OD23" s="117"/>
      <c r="OE23" s="117"/>
      <c r="OF23" s="117"/>
      <c r="OG23" s="117"/>
      <c r="OH23" s="117"/>
      <c r="OI23" s="117"/>
      <c r="OJ23" s="117"/>
      <c r="OK23" s="117"/>
      <c r="OL23" s="117"/>
      <c r="OM23" s="117"/>
      <c r="ON23" s="117"/>
      <c r="OO23" s="117"/>
      <c r="OP23" s="117"/>
      <c r="OQ23" s="117"/>
      <c r="OR23" s="117"/>
      <c r="OS23" s="117"/>
      <c r="OT23" s="117"/>
      <c r="OU23" s="117"/>
      <c r="OV23" s="117"/>
      <c r="OW23" s="117"/>
      <c r="OX23" s="117"/>
      <c r="OY23" s="117"/>
      <c r="OZ23" s="117"/>
      <c r="PA23" s="117"/>
      <c r="PB23" s="117"/>
      <c r="PC23" s="117"/>
      <c r="PD23" s="117"/>
      <c r="PE23" s="117"/>
      <c r="PF23" s="117"/>
      <c r="PG23" s="117"/>
      <c r="PH23" s="117"/>
      <c r="PI23" s="117"/>
      <c r="PJ23" s="117"/>
      <c r="PK23" s="117"/>
      <c r="PL23" s="117"/>
      <c r="PM23" s="117"/>
      <c r="PN23" s="117"/>
      <c r="PO23" s="117"/>
      <c r="PP23" s="117"/>
      <c r="PQ23" s="117"/>
      <c r="PR23" s="117"/>
      <c r="PS23" s="117"/>
      <c r="PT23" s="117"/>
      <c r="PU23" s="117"/>
      <c r="PV23" s="117"/>
      <c r="PW23" s="117"/>
      <c r="PX23" s="117"/>
      <c r="PY23" s="117"/>
      <c r="PZ23" s="117"/>
      <c r="QA23" s="117"/>
      <c r="QB23" s="117"/>
      <c r="QC23" s="117"/>
      <c r="QD23" s="117"/>
      <c r="QE23" s="117"/>
      <c r="QF23" s="117"/>
      <c r="QG23" s="117"/>
      <c r="QH23" s="117"/>
      <c r="QI23" s="117"/>
      <c r="QJ23" s="117"/>
      <c r="QK23" s="118"/>
      <c r="QL23" s="116"/>
      <c r="QM23" s="117"/>
      <c r="QN23" s="117"/>
      <c r="QO23" s="117"/>
      <c r="QP23" s="117"/>
      <c r="QQ23" s="117"/>
      <c r="QR23" s="117"/>
      <c r="QS23" s="117"/>
      <c r="QT23" s="117"/>
      <c r="QU23" s="117"/>
      <c r="QV23" s="117"/>
      <c r="QW23" s="117"/>
      <c r="QX23" s="117"/>
      <c r="QY23" s="117"/>
      <c r="QZ23" s="117"/>
      <c r="RA23" s="117"/>
      <c r="RB23" s="117"/>
      <c r="RC23" s="117"/>
      <c r="RD23" s="117"/>
      <c r="RE23" s="117"/>
      <c r="RF23" s="117"/>
      <c r="RG23" s="117"/>
      <c r="RH23" s="117"/>
      <c r="RI23" s="117"/>
      <c r="RJ23" s="117"/>
      <c r="RK23" s="117"/>
      <c r="RL23" s="117"/>
      <c r="RM23" s="117"/>
      <c r="RN23" s="117"/>
      <c r="RO23" s="117"/>
      <c r="RP23" s="117"/>
      <c r="RQ23" s="117"/>
      <c r="RR23" s="117"/>
      <c r="RS23" s="117"/>
      <c r="RT23" s="117"/>
      <c r="RU23" s="117"/>
      <c r="RV23" s="117"/>
      <c r="RW23" s="117"/>
      <c r="RX23" s="117"/>
      <c r="RY23" s="117"/>
      <c r="RZ23" s="117"/>
      <c r="SA23" s="117"/>
      <c r="SB23" s="117"/>
      <c r="SC23" s="117"/>
      <c r="SD23" s="117"/>
      <c r="SE23" s="117"/>
      <c r="SF23" s="117"/>
      <c r="SG23" s="117"/>
      <c r="SH23" s="117"/>
      <c r="SI23" s="117"/>
      <c r="SJ23" s="117"/>
      <c r="SK23" s="117"/>
      <c r="SL23" s="117"/>
      <c r="SM23" s="117"/>
      <c r="SN23" s="117"/>
      <c r="SO23" s="117"/>
      <c r="SP23" s="117"/>
      <c r="SQ23" s="117"/>
      <c r="SR23" s="117"/>
      <c r="SS23" s="117"/>
      <c r="ST23" s="117"/>
      <c r="SU23" s="117"/>
      <c r="SV23" s="117"/>
      <c r="SW23" s="117"/>
      <c r="SX23" s="117"/>
      <c r="SY23" s="117"/>
      <c r="SZ23" s="117"/>
      <c r="TA23" s="117"/>
      <c r="TB23" s="117"/>
      <c r="TC23" s="117"/>
      <c r="TD23" s="117"/>
      <c r="TE23" s="117"/>
      <c r="TF23" s="117"/>
      <c r="TG23" s="117"/>
      <c r="TH23" s="117"/>
      <c r="TI23" s="117"/>
      <c r="TJ23" s="117"/>
      <c r="TK23" s="117"/>
      <c r="TL23" s="117"/>
      <c r="TM23" s="117"/>
      <c r="TN23" s="117"/>
      <c r="TO23" s="117"/>
      <c r="TP23" s="117"/>
      <c r="TQ23" s="117"/>
      <c r="TR23" s="117"/>
      <c r="TS23" s="117"/>
      <c r="TT23" s="117"/>
      <c r="TU23" s="117"/>
      <c r="TV23" s="117"/>
      <c r="TW23" s="118"/>
      <c r="TX23" s="116"/>
      <c r="TY23" s="117"/>
      <c r="TZ23" s="117"/>
      <c r="UA23" s="117"/>
      <c r="UB23" s="117"/>
      <c r="UC23" s="117"/>
      <c r="UD23" s="117"/>
      <c r="UE23" s="117"/>
      <c r="UF23" s="117"/>
      <c r="UG23" s="117"/>
      <c r="UH23" s="117"/>
      <c r="UI23" s="117"/>
      <c r="UJ23" s="117"/>
      <c r="UK23" s="117"/>
      <c r="UL23" s="117"/>
      <c r="UM23" s="117"/>
      <c r="UN23" s="117"/>
      <c r="UO23" s="117"/>
      <c r="UP23" s="117"/>
      <c r="UQ23" s="117"/>
      <c r="UR23" s="117"/>
      <c r="US23" s="117"/>
      <c r="UT23" s="117"/>
      <c r="UU23" s="117"/>
      <c r="UV23" s="117"/>
      <c r="UW23" s="117"/>
      <c r="UX23" s="117"/>
      <c r="UY23" s="117"/>
      <c r="UZ23" s="117"/>
      <c r="VA23" s="117"/>
      <c r="VB23" s="117"/>
      <c r="VC23" s="117"/>
      <c r="VD23" s="117"/>
      <c r="VE23" s="117"/>
      <c r="VF23" s="117"/>
      <c r="VG23" s="117"/>
      <c r="VH23" s="117"/>
      <c r="VI23" s="117"/>
      <c r="VJ23" s="117"/>
      <c r="VK23" s="117"/>
      <c r="VL23" s="117"/>
      <c r="VM23" s="117"/>
      <c r="VN23" s="117"/>
      <c r="VO23" s="117"/>
      <c r="VP23" s="117"/>
      <c r="VQ23" s="117"/>
      <c r="VR23" s="117"/>
      <c r="VS23" s="117"/>
      <c r="VT23" s="117"/>
      <c r="VU23" s="117"/>
      <c r="VV23" s="117"/>
      <c r="VW23" s="117"/>
      <c r="VX23" s="117"/>
      <c r="VY23" s="117"/>
      <c r="VZ23" s="117"/>
      <c r="WA23" s="117"/>
      <c r="WB23" s="117"/>
      <c r="WC23" s="117"/>
      <c r="WD23" s="117"/>
      <c r="WE23" s="117"/>
      <c r="WF23" s="117"/>
      <c r="WG23" s="117"/>
      <c r="WH23" s="117"/>
      <c r="WI23" s="117"/>
      <c r="WJ23" s="117"/>
      <c r="WK23" s="117"/>
      <c r="WL23" s="117"/>
      <c r="WM23" s="117"/>
      <c r="WN23" s="117"/>
      <c r="WO23" s="117"/>
      <c r="WP23" s="117"/>
      <c r="WQ23" s="117"/>
      <c r="WR23" s="117"/>
      <c r="WS23" s="117"/>
      <c r="WT23" s="117"/>
      <c r="WU23" s="117"/>
      <c r="WV23" s="117"/>
      <c r="WW23" s="117"/>
      <c r="WX23" s="117"/>
      <c r="WY23" s="117"/>
      <c r="WZ23" s="117"/>
      <c r="XA23" s="117"/>
      <c r="XB23" s="117"/>
      <c r="XC23" s="117"/>
      <c r="XD23" s="117"/>
      <c r="XE23" s="117"/>
      <c r="XF23" s="117"/>
      <c r="XG23" s="117"/>
      <c r="XH23" s="117"/>
      <c r="XI23" s="118"/>
      <c r="XJ23" s="116"/>
      <c r="XK23" s="117"/>
      <c r="XL23" s="117"/>
      <c r="XM23" s="117"/>
      <c r="XN23" s="117"/>
      <c r="XO23" s="117"/>
      <c r="XP23" s="117"/>
      <c r="XQ23" s="117"/>
      <c r="XR23" s="117"/>
      <c r="XS23" s="117"/>
      <c r="XT23" s="117"/>
      <c r="XU23" s="117"/>
      <c r="XV23" s="117"/>
      <c r="XW23" s="117"/>
      <c r="XX23" s="117"/>
      <c r="XY23" s="117"/>
      <c r="XZ23" s="117"/>
      <c r="YA23" s="117"/>
      <c r="YB23" s="117"/>
      <c r="YC23" s="117"/>
      <c r="YD23" s="117"/>
      <c r="YE23" s="117"/>
      <c r="YF23" s="117"/>
      <c r="YG23" s="117"/>
      <c r="YH23" s="117"/>
      <c r="YI23" s="117"/>
      <c r="YJ23" s="117"/>
      <c r="YK23" s="117"/>
      <c r="YL23" s="117"/>
      <c r="YM23" s="117"/>
      <c r="YN23" s="117"/>
      <c r="YO23" s="117"/>
      <c r="YP23" s="117"/>
      <c r="YQ23" s="117"/>
      <c r="YR23" s="117"/>
      <c r="YS23" s="117"/>
      <c r="YT23" s="117"/>
      <c r="YU23" s="117"/>
      <c r="YV23" s="117"/>
      <c r="YW23" s="117"/>
      <c r="YX23" s="117"/>
      <c r="YY23" s="117"/>
      <c r="YZ23" s="117"/>
      <c r="ZA23" s="117"/>
      <c r="ZB23" s="117"/>
      <c r="ZC23" s="117"/>
      <c r="ZD23" s="117"/>
      <c r="ZE23" s="117"/>
      <c r="ZF23" s="117"/>
      <c r="ZG23" s="117"/>
      <c r="ZH23" s="117"/>
      <c r="ZI23" s="117"/>
      <c r="ZJ23" s="117"/>
      <c r="ZK23" s="117"/>
      <c r="ZL23" s="117"/>
      <c r="ZM23" s="117"/>
      <c r="ZN23" s="117"/>
      <c r="ZO23" s="117"/>
      <c r="ZP23" s="117"/>
      <c r="ZQ23" s="117"/>
      <c r="ZR23" s="117"/>
      <c r="ZS23" s="117"/>
      <c r="ZT23" s="117"/>
      <c r="ZU23" s="117"/>
      <c r="ZV23" s="117"/>
      <c r="ZW23" s="117"/>
      <c r="ZX23" s="117"/>
      <c r="ZY23" s="117"/>
      <c r="ZZ23" s="117"/>
      <c r="AAA23" s="117"/>
      <c r="AAB23" s="117"/>
      <c r="AAC23" s="117"/>
      <c r="AAD23" s="117"/>
      <c r="AAE23" s="117"/>
      <c r="AAF23" s="117"/>
      <c r="AAG23" s="117"/>
      <c r="AAH23" s="117"/>
      <c r="AAI23" s="117"/>
      <c r="AAJ23" s="117"/>
      <c r="AAK23" s="117"/>
      <c r="AAL23" s="117"/>
      <c r="AAM23" s="117"/>
      <c r="AAN23" s="117"/>
      <c r="AAO23" s="117"/>
      <c r="AAP23" s="117"/>
      <c r="AAQ23" s="117"/>
      <c r="AAR23" s="117"/>
      <c r="AAS23" s="117"/>
      <c r="AAT23" s="117"/>
      <c r="AAU23" s="118"/>
      <c r="AAV23" s="116"/>
      <c r="AAW23" s="117"/>
      <c r="AAX23" s="117"/>
      <c r="AAY23" s="117"/>
      <c r="AAZ23" s="117"/>
      <c r="ABA23" s="117"/>
      <c r="ABB23" s="117"/>
      <c r="ABC23" s="117"/>
      <c r="ABD23" s="117"/>
      <c r="ABE23" s="117"/>
      <c r="ABF23" s="117"/>
      <c r="ABG23" s="117"/>
      <c r="ABH23" s="117"/>
      <c r="ABI23" s="117"/>
      <c r="ABJ23" s="117"/>
      <c r="ABK23" s="117"/>
      <c r="ABL23" s="117"/>
      <c r="ABM23" s="117"/>
      <c r="ABN23" s="117"/>
      <c r="ABO23" s="117"/>
      <c r="ABP23" s="117"/>
      <c r="ABQ23" s="117"/>
      <c r="ABR23" s="117"/>
      <c r="ABS23" s="117"/>
      <c r="ABT23" s="117"/>
      <c r="ABU23" s="117"/>
      <c r="ABV23" s="117"/>
      <c r="ABW23" s="117"/>
      <c r="ABX23" s="117"/>
      <c r="ABY23" s="117"/>
      <c r="ABZ23" s="117"/>
      <c r="ACA23" s="117"/>
      <c r="ACB23" s="117"/>
      <c r="ACC23" s="117"/>
      <c r="ACD23" s="117"/>
      <c r="ACE23" s="117"/>
      <c r="ACF23" s="117"/>
      <c r="ACG23" s="117"/>
      <c r="ACH23" s="117"/>
      <c r="ACI23" s="117"/>
      <c r="ACJ23" s="117"/>
      <c r="ACK23" s="117"/>
      <c r="ACL23" s="117"/>
      <c r="ACM23" s="117"/>
      <c r="ACN23" s="117"/>
      <c r="ACO23" s="117"/>
      <c r="ACP23" s="117"/>
      <c r="ACQ23" s="117"/>
      <c r="ACR23" s="117"/>
      <c r="ACS23" s="117"/>
      <c r="ACT23" s="117"/>
      <c r="ACU23" s="117"/>
      <c r="ACV23" s="117"/>
      <c r="ACW23" s="117"/>
      <c r="ACX23" s="117"/>
      <c r="ACY23" s="117"/>
      <c r="ACZ23" s="117"/>
      <c r="ADA23" s="117"/>
      <c r="ADB23" s="117"/>
      <c r="ADC23" s="117"/>
      <c r="ADD23" s="117"/>
      <c r="ADE23" s="117"/>
      <c r="ADF23" s="117"/>
      <c r="ADG23" s="117"/>
      <c r="ADH23" s="117"/>
      <c r="ADI23" s="117"/>
      <c r="ADJ23" s="117"/>
      <c r="ADK23" s="117"/>
      <c r="ADL23" s="117"/>
      <c r="ADM23" s="117"/>
      <c r="ADN23" s="117"/>
      <c r="ADO23" s="117"/>
      <c r="ADP23" s="117"/>
      <c r="ADQ23" s="117"/>
      <c r="ADR23" s="117"/>
      <c r="ADS23" s="117"/>
      <c r="ADT23" s="117"/>
      <c r="ADU23" s="117"/>
      <c r="ADV23" s="117"/>
      <c r="ADW23" s="117"/>
      <c r="ADX23" s="117"/>
      <c r="ADY23" s="117"/>
      <c r="ADZ23" s="117"/>
      <c r="AEA23" s="117"/>
      <c r="AEB23" s="117"/>
      <c r="AEC23" s="117"/>
      <c r="AED23" s="117"/>
      <c r="AEE23" s="117"/>
      <c r="AEF23" s="117"/>
      <c r="AEG23" s="118"/>
    </row>
    <row r="24" spans="2:813" ht="19.5" customHeight="1" thickBot="1" x14ac:dyDescent="0.3">
      <c r="B24" s="119" t="s">
        <v>16</v>
      </c>
      <c r="C24" s="120">
        <f>SUM($C$4,$C$6,$C$8,$C$10,$C$12,$C$14,$C$16,$C$18,$C$20,$C$22)</f>
        <v>17</v>
      </c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3"/>
      <c r="CP24" s="121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  <c r="DZ24" s="122"/>
      <c r="EA24" s="122"/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22"/>
      <c r="EO24" s="122"/>
      <c r="EP24" s="122"/>
      <c r="EQ24" s="122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122"/>
      <c r="FI24" s="122"/>
      <c r="FJ24" s="122"/>
      <c r="FK24" s="122"/>
      <c r="FL24" s="122"/>
      <c r="FM24" s="122"/>
      <c r="FN24" s="122"/>
      <c r="FO24" s="122"/>
      <c r="FP24" s="122"/>
      <c r="FQ24" s="122"/>
      <c r="FR24" s="122"/>
      <c r="FS24" s="122"/>
      <c r="FT24" s="122"/>
      <c r="FU24" s="122"/>
      <c r="FV24" s="122"/>
      <c r="FW24" s="122"/>
      <c r="FX24" s="122"/>
      <c r="FY24" s="122"/>
      <c r="FZ24" s="122"/>
      <c r="GA24" s="123"/>
      <c r="GB24" s="121"/>
      <c r="GC24" s="122"/>
      <c r="GD24" s="122"/>
      <c r="GE24" s="122"/>
      <c r="GF24" s="122"/>
      <c r="GG24" s="122"/>
      <c r="GH24" s="122"/>
      <c r="GI24" s="122"/>
      <c r="GJ24" s="122"/>
      <c r="GK24" s="122"/>
      <c r="GL24" s="122"/>
      <c r="GM24" s="122"/>
      <c r="GN24" s="122"/>
      <c r="GO24" s="122"/>
      <c r="GP24" s="122"/>
      <c r="GQ24" s="122"/>
      <c r="GR24" s="122"/>
      <c r="GS24" s="122"/>
      <c r="GT24" s="122"/>
      <c r="GU24" s="122"/>
      <c r="GV24" s="122"/>
      <c r="GW24" s="122"/>
      <c r="GX24" s="122"/>
      <c r="GY24" s="122"/>
      <c r="GZ24" s="122"/>
      <c r="HA24" s="122"/>
      <c r="HB24" s="122"/>
      <c r="HC24" s="122"/>
      <c r="HD24" s="122"/>
      <c r="HE24" s="122"/>
      <c r="HF24" s="122"/>
      <c r="HG24" s="122"/>
      <c r="HH24" s="122"/>
      <c r="HI24" s="122"/>
      <c r="HJ24" s="122"/>
      <c r="HK24" s="122"/>
      <c r="HL24" s="122"/>
      <c r="HM24" s="122"/>
      <c r="HN24" s="122"/>
      <c r="HO24" s="122"/>
      <c r="HP24" s="122"/>
      <c r="HQ24" s="122"/>
      <c r="HR24" s="122"/>
      <c r="HS24" s="122"/>
      <c r="HT24" s="122"/>
      <c r="HU24" s="122"/>
      <c r="HV24" s="122"/>
      <c r="HW24" s="122"/>
      <c r="HX24" s="122"/>
      <c r="HY24" s="122"/>
      <c r="HZ24" s="122"/>
      <c r="IA24" s="122"/>
      <c r="IB24" s="122"/>
      <c r="IC24" s="122"/>
      <c r="ID24" s="122"/>
      <c r="IE24" s="122"/>
      <c r="IF24" s="122"/>
      <c r="IG24" s="122"/>
      <c r="IH24" s="122"/>
      <c r="II24" s="122"/>
      <c r="IJ24" s="122"/>
      <c r="IK24" s="122"/>
      <c r="IL24" s="122"/>
      <c r="IM24" s="122"/>
      <c r="IN24" s="122"/>
      <c r="IO24" s="122"/>
      <c r="IP24" s="122"/>
      <c r="IQ24" s="122"/>
      <c r="IR24" s="122"/>
      <c r="IS24" s="122"/>
      <c r="IT24" s="122"/>
      <c r="IU24" s="122"/>
      <c r="IV24" s="122"/>
      <c r="IW24" s="122"/>
      <c r="IX24" s="122"/>
      <c r="IY24" s="122"/>
      <c r="IZ24" s="122"/>
      <c r="JA24" s="122"/>
      <c r="JB24" s="122"/>
      <c r="JC24" s="122"/>
      <c r="JD24" s="122"/>
      <c r="JE24" s="122"/>
      <c r="JF24" s="122"/>
      <c r="JG24" s="122"/>
      <c r="JH24" s="122"/>
      <c r="JI24" s="122"/>
      <c r="JJ24" s="122"/>
      <c r="JK24" s="122"/>
      <c r="JL24" s="122"/>
      <c r="JM24" s="123"/>
      <c r="JN24" s="121"/>
      <c r="JO24" s="122"/>
      <c r="JP24" s="122"/>
      <c r="JQ24" s="122"/>
      <c r="JR24" s="122"/>
      <c r="JS24" s="122"/>
      <c r="JT24" s="122"/>
      <c r="JU24" s="122"/>
      <c r="JV24" s="122"/>
      <c r="JW24" s="122"/>
      <c r="JX24" s="122"/>
      <c r="JY24" s="122"/>
      <c r="JZ24" s="122"/>
      <c r="KA24" s="122"/>
      <c r="KB24" s="122"/>
      <c r="KC24" s="122"/>
      <c r="KD24" s="122"/>
      <c r="KE24" s="122"/>
      <c r="KF24" s="122"/>
      <c r="KG24" s="122"/>
      <c r="KH24" s="122"/>
      <c r="KI24" s="122"/>
      <c r="KJ24" s="122"/>
      <c r="KK24" s="122"/>
      <c r="KL24" s="122"/>
      <c r="KM24" s="122"/>
      <c r="KN24" s="122"/>
      <c r="KO24" s="122"/>
      <c r="KP24" s="122"/>
      <c r="KQ24" s="122"/>
      <c r="KR24" s="122"/>
      <c r="KS24" s="122"/>
      <c r="KT24" s="122"/>
      <c r="KU24" s="122"/>
      <c r="KV24" s="122"/>
      <c r="KW24" s="122"/>
      <c r="KX24" s="122"/>
      <c r="KY24" s="122"/>
      <c r="KZ24" s="122"/>
      <c r="LA24" s="122"/>
      <c r="LB24" s="122"/>
      <c r="LC24" s="122"/>
      <c r="LD24" s="122"/>
      <c r="LE24" s="122"/>
      <c r="LF24" s="122"/>
      <c r="LG24" s="122"/>
      <c r="LH24" s="122"/>
      <c r="LI24" s="122"/>
      <c r="LJ24" s="122"/>
      <c r="LK24" s="122"/>
      <c r="LL24" s="122"/>
      <c r="LM24" s="122"/>
      <c r="LN24" s="122"/>
      <c r="LO24" s="122"/>
      <c r="LP24" s="122"/>
      <c r="LQ24" s="122"/>
      <c r="LR24" s="122"/>
      <c r="LS24" s="122"/>
      <c r="LT24" s="122"/>
      <c r="LU24" s="122"/>
      <c r="LV24" s="122"/>
      <c r="LW24" s="122"/>
      <c r="LX24" s="122"/>
      <c r="LY24" s="122"/>
      <c r="LZ24" s="122"/>
      <c r="MA24" s="122"/>
      <c r="MB24" s="122"/>
      <c r="MC24" s="122"/>
      <c r="MD24" s="122"/>
      <c r="ME24" s="122"/>
      <c r="MF24" s="122"/>
      <c r="MG24" s="122"/>
      <c r="MH24" s="122"/>
      <c r="MI24" s="122"/>
      <c r="MJ24" s="122"/>
      <c r="MK24" s="122"/>
      <c r="ML24" s="122"/>
      <c r="MM24" s="122"/>
      <c r="MN24" s="122"/>
      <c r="MO24" s="122"/>
      <c r="MP24" s="122"/>
      <c r="MQ24" s="122"/>
      <c r="MR24" s="122"/>
      <c r="MS24" s="122"/>
      <c r="MT24" s="122"/>
      <c r="MU24" s="122"/>
      <c r="MV24" s="122"/>
      <c r="MW24" s="122"/>
      <c r="MX24" s="122"/>
      <c r="MY24" s="123"/>
      <c r="MZ24" s="121"/>
      <c r="NA24" s="122"/>
      <c r="NB24" s="122"/>
      <c r="NC24" s="122"/>
      <c r="ND24" s="122"/>
      <c r="NE24" s="122"/>
      <c r="NF24" s="122"/>
      <c r="NG24" s="122"/>
      <c r="NH24" s="122"/>
      <c r="NI24" s="122"/>
      <c r="NJ24" s="122"/>
      <c r="NK24" s="122"/>
      <c r="NL24" s="122"/>
      <c r="NM24" s="122"/>
      <c r="NN24" s="122"/>
      <c r="NO24" s="122"/>
      <c r="NP24" s="122"/>
      <c r="NQ24" s="122"/>
      <c r="NR24" s="122"/>
      <c r="NS24" s="122"/>
      <c r="NT24" s="122"/>
      <c r="NU24" s="122"/>
      <c r="NV24" s="122"/>
      <c r="NW24" s="122"/>
      <c r="NX24" s="122"/>
      <c r="NY24" s="122"/>
      <c r="NZ24" s="122"/>
      <c r="OA24" s="122"/>
      <c r="OB24" s="122"/>
      <c r="OC24" s="122"/>
      <c r="OD24" s="122"/>
      <c r="OE24" s="122"/>
      <c r="OF24" s="122"/>
      <c r="OG24" s="122"/>
      <c r="OH24" s="122"/>
      <c r="OI24" s="122"/>
      <c r="OJ24" s="122"/>
      <c r="OK24" s="122"/>
      <c r="OL24" s="122"/>
      <c r="OM24" s="122"/>
      <c r="ON24" s="122"/>
      <c r="OO24" s="122"/>
      <c r="OP24" s="122"/>
      <c r="OQ24" s="122"/>
      <c r="OR24" s="122"/>
      <c r="OS24" s="122"/>
      <c r="OT24" s="122"/>
      <c r="OU24" s="122"/>
      <c r="OV24" s="122"/>
      <c r="OW24" s="122"/>
      <c r="OX24" s="122"/>
      <c r="OY24" s="122"/>
      <c r="OZ24" s="122"/>
      <c r="PA24" s="122"/>
      <c r="PB24" s="122"/>
      <c r="PC24" s="122"/>
      <c r="PD24" s="122"/>
      <c r="PE24" s="122"/>
      <c r="PF24" s="122"/>
      <c r="PG24" s="122"/>
      <c r="PH24" s="122"/>
      <c r="PI24" s="122"/>
      <c r="PJ24" s="122"/>
      <c r="PK24" s="122"/>
      <c r="PL24" s="122"/>
      <c r="PM24" s="122"/>
      <c r="PN24" s="122"/>
      <c r="PO24" s="122"/>
      <c r="PP24" s="122"/>
      <c r="PQ24" s="122"/>
      <c r="PR24" s="122"/>
      <c r="PS24" s="122"/>
      <c r="PT24" s="122"/>
      <c r="PU24" s="122"/>
      <c r="PV24" s="122"/>
      <c r="PW24" s="122"/>
      <c r="PX24" s="122"/>
      <c r="PY24" s="122"/>
      <c r="PZ24" s="122"/>
      <c r="QA24" s="122"/>
      <c r="QB24" s="122"/>
      <c r="QC24" s="122"/>
      <c r="QD24" s="122"/>
      <c r="QE24" s="122"/>
      <c r="QF24" s="122"/>
      <c r="QG24" s="122"/>
      <c r="QH24" s="122"/>
      <c r="QI24" s="122"/>
      <c r="QJ24" s="122"/>
      <c r="QK24" s="123"/>
      <c r="QL24" s="121"/>
      <c r="QM24" s="122"/>
      <c r="QN24" s="122"/>
      <c r="QO24" s="122"/>
      <c r="QP24" s="122"/>
      <c r="QQ24" s="122"/>
      <c r="QR24" s="122"/>
      <c r="QS24" s="122"/>
      <c r="QT24" s="122"/>
      <c r="QU24" s="122"/>
      <c r="QV24" s="122"/>
      <c r="QW24" s="122"/>
      <c r="QX24" s="122"/>
      <c r="QY24" s="122"/>
      <c r="QZ24" s="122"/>
      <c r="RA24" s="122"/>
      <c r="RB24" s="122"/>
      <c r="RC24" s="122"/>
      <c r="RD24" s="122"/>
      <c r="RE24" s="122"/>
      <c r="RF24" s="122"/>
      <c r="RG24" s="122"/>
      <c r="RH24" s="122"/>
      <c r="RI24" s="122"/>
      <c r="RJ24" s="122"/>
      <c r="RK24" s="122"/>
      <c r="RL24" s="122"/>
      <c r="RM24" s="122"/>
      <c r="RN24" s="122"/>
      <c r="RO24" s="122"/>
      <c r="RP24" s="122"/>
      <c r="RQ24" s="122"/>
      <c r="RR24" s="122"/>
      <c r="RS24" s="122"/>
      <c r="RT24" s="122"/>
      <c r="RU24" s="122"/>
      <c r="RV24" s="122"/>
      <c r="RW24" s="122"/>
      <c r="RX24" s="122"/>
      <c r="RY24" s="122"/>
      <c r="RZ24" s="122"/>
      <c r="SA24" s="122"/>
      <c r="SB24" s="122"/>
      <c r="SC24" s="122"/>
      <c r="SD24" s="122"/>
      <c r="SE24" s="122"/>
      <c r="SF24" s="122"/>
      <c r="SG24" s="122"/>
      <c r="SH24" s="122"/>
      <c r="SI24" s="122"/>
      <c r="SJ24" s="122"/>
      <c r="SK24" s="122"/>
      <c r="SL24" s="122"/>
      <c r="SM24" s="122"/>
      <c r="SN24" s="122"/>
      <c r="SO24" s="122"/>
      <c r="SP24" s="122"/>
      <c r="SQ24" s="122"/>
      <c r="SR24" s="122"/>
      <c r="SS24" s="122"/>
      <c r="ST24" s="122"/>
      <c r="SU24" s="122"/>
      <c r="SV24" s="122"/>
      <c r="SW24" s="122"/>
      <c r="SX24" s="122"/>
      <c r="SY24" s="122"/>
      <c r="SZ24" s="122"/>
      <c r="TA24" s="122"/>
      <c r="TB24" s="122"/>
      <c r="TC24" s="122"/>
      <c r="TD24" s="122"/>
      <c r="TE24" s="122"/>
      <c r="TF24" s="122"/>
      <c r="TG24" s="122"/>
      <c r="TH24" s="122"/>
      <c r="TI24" s="122"/>
      <c r="TJ24" s="122"/>
      <c r="TK24" s="122"/>
      <c r="TL24" s="122"/>
      <c r="TM24" s="122"/>
      <c r="TN24" s="122"/>
      <c r="TO24" s="122"/>
      <c r="TP24" s="122"/>
      <c r="TQ24" s="122"/>
      <c r="TR24" s="122"/>
      <c r="TS24" s="122"/>
      <c r="TT24" s="122"/>
      <c r="TU24" s="122"/>
      <c r="TV24" s="122"/>
      <c r="TW24" s="123"/>
      <c r="TX24" s="121"/>
      <c r="TY24" s="122"/>
      <c r="TZ24" s="122"/>
      <c r="UA24" s="122"/>
      <c r="UB24" s="122"/>
      <c r="UC24" s="122"/>
      <c r="UD24" s="122"/>
      <c r="UE24" s="122"/>
      <c r="UF24" s="122"/>
      <c r="UG24" s="122"/>
      <c r="UH24" s="122"/>
      <c r="UI24" s="122"/>
      <c r="UJ24" s="122"/>
      <c r="UK24" s="122"/>
      <c r="UL24" s="122"/>
      <c r="UM24" s="122"/>
      <c r="UN24" s="122"/>
      <c r="UO24" s="122"/>
      <c r="UP24" s="122"/>
      <c r="UQ24" s="122"/>
      <c r="UR24" s="122"/>
      <c r="US24" s="122"/>
      <c r="UT24" s="122"/>
      <c r="UU24" s="122"/>
      <c r="UV24" s="122"/>
      <c r="UW24" s="122"/>
      <c r="UX24" s="122"/>
      <c r="UY24" s="122"/>
      <c r="UZ24" s="122"/>
      <c r="VA24" s="122"/>
      <c r="VB24" s="122"/>
      <c r="VC24" s="122"/>
      <c r="VD24" s="122"/>
      <c r="VE24" s="122"/>
      <c r="VF24" s="122"/>
      <c r="VG24" s="122"/>
      <c r="VH24" s="122"/>
      <c r="VI24" s="122"/>
      <c r="VJ24" s="122"/>
      <c r="VK24" s="122"/>
      <c r="VL24" s="122"/>
      <c r="VM24" s="122"/>
      <c r="VN24" s="122"/>
      <c r="VO24" s="122"/>
      <c r="VP24" s="122"/>
      <c r="VQ24" s="122"/>
      <c r="VR24" s="122"/>
      <c r="VS24" s="122"/>
      <c r="VT24" s="122"/>
      <c r="VU24" s="122"/>
      <c r="VV24" s="122"/>
      <c r="VW24" s="122"/>
      <c r="VX24" s="122"/>
      <c r="VY24" s="122"/>
      <c r="VZ24" s="122"/>
      <c r="WA24" s="122"/>
      <c r="WB24" s="122"/>
      <c r="WC24" s="122"/>
      <c r="WD24" s="122"/>
      <c r="WE24" s="122"/>
      <c r="WF24" s="122"/>
      <c r="WG24" s="122"/>
      <c r="WH24" s="122"/>
      <c r="WI24" s="122"/>
      <c r="WJ24" s="122"/>
      <c r="WK24" s="122"/>
      <c r="WL24" s="122"/>
      <c r="WM24" s="122"/>
      <c r="WN24" s="122"/>
      <c r="WO24" s="122"/>
      <c r="WP24" s="122"/>
      <c r="WQ24" s="122"/>
      <c r="WR24" s="122"/>
      <c r="WS24" s="122"/>
      <c r="WT24" s="122"/>
      <c r="WU24" s="122"/>
      <c r="WV24" s="122"/>
      <c r="WW24" s="122"/>
      <c r="WX24" s="122"/>
      <c r="WY24" s="122"/>
      <c r="WZ24" s="122"/>
      <c r="XA24" s="122"/>
      <c r="XB24" s="122"/>
      <c r="XC24" s="122"/>
      <c r="XD24" s="122"/>
      <c r="XE24" s="122"/>
      <c r="XF24" s="122"/>
      <c r="XG24" s="122"/>
      <c r="XH24" s="122"/>
      <c r="XI24" s="123"/>
      <c r="XJ24" s="121"/>
      <c r="XK24" s="122"/>
      <c r="XL24" s="122"/>
      <c r="XM24" s="122"/>
      <c r="XN24" s="122"/>
      <c r="XO24" s="122"/>
      <c r="XP24" s="122"/>
      <c r="XQ24" s="122"/>
      <c r="XR24" s="122"/>
      <c r="XS24" s="122"/>
      <c r="XT24" s="122"/>
      <c r="XU24" s="122"/>
      <c r="XV24" s="122"/>
      <c r="XW24" s="122"/>
      <c r="XX24" s="122"/>
      <c r="XY24" s="122"/>
      <c r="XZ24" s="122"/>
      <c r="YA24" s="122"/>
      <c r="YB24" s="122"/>
      <c r="YC24" s="122"/>
      <c r="YD24" s="122"/>
      <c r="YE24" s="122"/>
      <c r="YF24" s="122"/>
      <c r="YG24" s="122"/>
      <c r="YH24" s="122"/>
      <c r="YI24" s="122"/>
      <c r="YJ24" s="122"/>
      <c r="YK24" s="122"/>
      <c r="YL24" s="122"/>
      <c r="YM24" s="122"/>
      <c r="YN24" s="122"/>
      <c r="YO24" s="122"/>
      <c r="YP24" s="122"/>
      <c r="YQ24" s="122"/>
      <c r="YR24" s="122"/>
      <c r="YS24" s="122"/>
      <c r="YT24" s="122"/>
      <c r="YU24" s="122"/>
      <c r="YV24" s="122"/>
      <c r="YW24" s="122"/>
      <c r="YX24" s="122"/>
      <c r="YY24" s="122"/>
      <c r="YZ24" s="122"/>
      <c r="ZA24" s="122"/>
      <c r="ZB24" s="122"/>
      <c r="ZC24" s="122"/>
      <c r="ZD24" s="122"/>
      <c r="ZE24" s="122"/>
      <c r="ZF24" s="122"/>
      <c r="ZG24" s="122"/>
      <c r="ZH24" s="122"/>
      <c r="ZI24" s="122"/>
      <c r="ZJ24" s="122"/>
      <c r="ZK24" s="122"/>
      <c r="ZL24" s="122"/>
      <c r="ZM24" s="122"/>
      <c r="ZN24" s="122"/>
      <c r="ZO24" s="122"/>
      <c r="ZP24" s="122"/>
      <c r="ZQ24" s="122"/>
      <c r="ZR24" s="122"/>
      <c r="ZS24" s="122"/>
      <c r="ZT24" s="122"/>
      <c r="ZU24" s="122"/>
      <c r="ZV24" s="122"/>
      <c r="ZW24" s="122"/>
      <c r="ZX24" s="122"/>
      <c r="ZY24" s="122"/>
      <c r="ZZ24" s="122"/>
      <c r="AAA24" s="122"/>
      <c r="AAB24" s="122"/>
      <c r="AAC24" s="122"/>
      <c r="AAD24" s="122"/>
      <c r="AAE24" s="122"/>
      <c r="AAF24" s="122"/>
      <c r="AAG24" s="122"/>
      <c r="AAH24" s="122"/>
      <c r="AAI24" s="122"/>
      <c r="AAJ24" s="122"/>
      <c r="AAK24" s="122"/>
      <c r="AAL24" s="122"/>
      <c r="AAM24" s="122"/>
      <c r="AAN24" s="122"/>
      <c r="AAO24" s="122"/>
      <c r="AAP24" s="122"/>
      <c r="AAQ24" s="122"/>
      <c r="AAR24" s="122"/>
      <c r="AAS24" s="122"/>
      <c r="AAT24" s="122"/>
      <c r="AAU24" s="123"/>
      <c r="AAV24" s="121"/>
      <c r="AAW24" s="122"/>
      <c r="AAX24" s="122"/>
      <c r="AAY24" s="122"/>
      <c r="AAZ24" s="122"/>
      <c r="ABA24" s="122"/>
      <c r="ABB24" s="122"/>
      <c r="ABC24" s="122"/>
      <c r="ABD24" s="122"/>
      <c r="ABE24" s="122"/>
      <c r="ABF24" s="122"/>
      <c r="ABG24" s="122"/>
      <c r="ABH24" s="122"/>
      <c r="ABI24" s="122"/>
      <c r="ABJ24" s="122"/>
      <c r="ABK24" s="122"/>
      <c r="ABL24" s="122"/>
      <c r="ABM24" s="122"/>
      <c r="ABN24" s="122"/>
      <c r="ABO24" s="122"/>
      <c r="ABP24" s="122"/>
      <c r="ABQ24" s="122"/>
      <c r="ABR24" s="122"/>
      <c r="ABS24" s="122"/>
      <c r="ABT24" s="122"/>
      <c r="ABU24" s="122"/>
      <c r="ABV24" s="122"/>
      <c r="ABW24" s="122"/>
      <c r="ABX24" s="122"/>
      <c r="ABY24" s="122"/>
      <c r="ABZ24" s="122"/>
      <c r="ACA24" s="122"/>
      <c r="ACB24" s="122"/>
      <c r="ACC24" s="122"/>
      <c r="ACD24" s="122"/>
      <c r="ACE24" s="122"/>
      <c r="ACF24" s="122"/>
      <c r="ACG24" s="122"/>
      <c r="ACH24" s="122"/>
      <c r="ACI24" s="122"/>
      <c r="ACJ24" s="122"/>
      <c r="ACK24" s="122"/>
      <c r="ACL24" s="122"/>
      <c r="ACM24" s="122"/>
      <c r="ACN24" s="122"/>
      <c r="ACO24" s="122"/>
      <c r="ACP24" s="122"/>
      <c r="ACQ24" s="122"/>
      <c r="ACR24" s="122"/>
      <c r="ACS24" s="122"/>
      <c r="ACT24" s="122"/>
      <c r="ACU24" s="122"/>
      <c r="ACV24" s="122"/>
      <c r="ACW24" s="122"/>
      <c r="ACX24" s="122"/>
      <c r="ACY24" s="122"/>
      <c r="ACZ24" s="122"/>
      <c r="ADA24" s="122"/>
      <c r="ADB24" s="122"/>
      <c r="ADC24" s="122"/>
      <c r="ADD24" s="122"/>
      <c r="ADE24" s="122"/>
      <c r="ADF24" s="122"/>
      <c r="ADG24" s="122"/>
      <c r="ADH24" s="122"/>
      <c r="ADI24" s="122"/>
      <c r="ADJ24" s="122"/>
      <c r="ADK24" s="122"/>
      <c r="ADL24" s="122"/>
      <c r="ADM24" s="122"/>
      <c r="ADN24" s="122"/>
      <c r="ADO24" s="122"/>
      <c r="ADP24" s="122"/>
      <c r="ADQ24" s="122"/>
      <c r="ADR24" s="122"/>
      <c r="ADS24" s="122"/>
      <c r="ADT24" s="122"/>
      <c r="ADU24" s="122"/>
      <c r="ADV24" s="122"/>
      <c r="ADW24" s="122"/>
      <c r="ADX24" s="122"/>
      <c r="ADY24" s="122"/>
      <c r="ADZ24" s="122"/>
      <c r="AEA24" s="122"/>
      <c r="AEB24" s="122"/>
      <c r="AEC24" s="122"/>
      <c r="AED24" s="122"/>
      <c r="AEE24" s="122"/>
      <c r="AEF24" s="122"/>
      <c r="AEG24" s="123"/>
    </row>
  </sheetData>
  <sheetProtection insertRows="0" selectLockedCells="1"/>
  <mergeCells count="19">
    <mergeCell ref="CP2:GA2"/>
    <mergeCell ref="B3:B4"/>
    <mergeCell ref="B5:B6"/>
    <mergeCell ref="B7:B8"/>
    <mergeCell ref="B9:B10"/>
    <mergeCell ref="B15:B16"/>
    <mergeCell ref="B17:B18"/>
    <mergeCell ref="B19:B20"/>
    <mergeCell ref="B21:B22"/>
    <mergeCell ref="D2:CO2"/>
    <mergeCell ref="B11:B12"/>
    <mergeCell ref="B13:B14"/>
    <mergeCell ref="AAV2:AEG2"/>
    <mergeCell ref="GB2:JM2"/>
    <mergeCell ref="JN2:MY2"/>
    <mergeCell ref="MZ2:QK2"/>
    <mergeCell ref="QL2:TW2"/>
    <mergeCell ref="TX2:XI2"/>
    <mergeCell ref="XJ2:AA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A4A77BCB-E07D-41F9-9C53-D48B5CBF10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75" t="s">
        <v>20</v>
      </c>
      <c r="C3" s="16">
        <v>0</v>
      </c>
    </row>
    <row r="4" spans="1:4" ht="19.5" customHeight="1" x14ac:dyDescent="0.25">
      <c r="A4" s="19"/>
      <c r="B4" s="17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66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10"/>
    </row>
    <row r="5" spans="1:4" s="52" customFormat="1" x14ac:dyDescent="0.25">
      <c r="A5" s="1" t="s">
        <v>43</v>
      </c>
      <c r="B5" s="2">
        <v>1</v>
      </c>
      <c r="C5" s="10" t="s">
        <v>36</v>
      </c>
      <c r="D5" s="10"/>
    </row>
    <row r="6" spans="1:4" s="52" customFormat="1" x14ac:dyDescent="0.25">
      <c r="A6" s="1" t="s">
        <v>43</v>
      </c>
      <c r="B6" s="2">
        <v>1</v>
      </c>
      <c r="C6" s="1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10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/>
      <c r="C14" s="10"/>
      <c r="D14" s="10"/>
    </row>
    <row r="15" spans="1:4" s="52" customFormat="1" ht="40.5" x14ac:dyDescent="0.25">
      <c r="A15" s="1" t="s">
        <v>71</v>
      </c>
      <c r="B15" s="2">
        <v>4</v>
      </c>
      <c r="C15" s="10"/>
      <c r="D15" s="10"/>
    </row>
    <row r="16" spans="1:4" s="52" customFormat="1" x14ac:dyDescent="0.25">
      <c r="A16" s="1"/>
      <c r="B16" s="2"/>
      <c r="C16" s="91" t="s">
        <v>32</v>
      </c>
      <c r="D16" s="10"/>
    </row>
    <row r="17" spans="1:8" s="52" customFormat="1" x14ac:dyDescent="0.25">
      <c r="A17" s="1"/>
      <c r="B17" s="2"/>
      <c r="C17" s="10"/>
      <c r="D17" s="10"/>
    </row>
    <row r="18" spans="1:8" s="52" customFormat="1" x14ac:dyDescent="0.25">
      <c r="A18" s="1"/>
      <c r="B18" s="2"/>
      <c r="C18" s="10"/>
      <c r="D18" s="10"/>
    </row>
    <row r="19" spans="1:8" s="52" customFormat="1" x14ac:dyDescent="0.25">
      <c r="A19" s="2"/>
      <c r="B19" s="2"/>
      <c r="C19" s="91" t="s">
        <v>33</v>
      </c>
      <c r="D19" s="10"/>
    </row>
    <row r="20" spans="1:8" s="52" customFormat="1" x14ac:dyDescent="0.25">
      <c r="A20" s="2"/>
      <c r="B20" s="2"/>
      <c r="C20" s="10"/>
      <c r="D20" s="10"/>
    </row>
    <row r="21" spans="1:8" s="52" customFormat="1" x14ac:dyDescent="0.25">
      <c r="A21" s="2"/>
      <c r="B21" s="2"/>
      <c r="C21" s="10"/>
      <c r="D21" s="10"/>
    </row>
    <row r="22" spans="1:8" s="52" customFormat="1" x14ac:dyDescent="0.25">
      <c r="A22" s="50"/>
      <c r="B22" s="50"/>
      <c r="C22" s="51"/>
      <c r="D22" s="51"/>
    </row>
    <row r="23" spans="1:8" s="52" customFormat="1" x14ac:dyDescent="0.25">
      <c r="A23" s="50"/>
      <c r="B23" s="50"/>
      <c r="C23" s="51"/>
      <c r="D23" s="51"/>
    </row>
    <row r="24" spans="1:8" s="52" customFormat="1" ht="14.25" thickBot="1" x14ac:dyDescent="0.3">
      <c r="A24" s="3"/>
      <c r="B24" s="3"/>
      <c r="C24" s="11"/>
      <c r="D24" s="11"/>
    </row>
    <row r="25" spans="1:8" ht="14.25" thickBot="1" x14ac:dyDescent="0.3">
      <c r="A25" s="47" t="s">
        <v>21</v>
      </c>
      <c r="B25" s="47">
        <f>SUM(B3:B24)</f>
        <v>32</v>
      </c>
      <c r="C25" s="87" t="s">
        <v>28</v>
      </c>
      <c r="D25" s="48"/>
    </row>
    <row r="26" spans="1:8" ht="15" thickBot="1" x14ac:dyDescent="0.35">
      <c r="A26" s="49"/>
      <c r="B26" s="49"/>
      <c r="C26" s="49"/>
      <c r="D26" s="49"/>
    </row>
    <row r="27" spans="1:8" ht="18.75" thickBot="1" x14ac:dyDescent="0.3">
      <c r="A27" s="42" t="s">
        <v>13</v>
      </c>
      <c r="B27" s="43">
        <v>2</v>
      </c>
      <c r="C27" s="44" t="s">
        <v>22</v>
      </c>
      <c r="D27" s="53">
        <f>$D$1+7</f>
        <v>44956</v>
      </c>
    </row>
    <row r="28" spans="1:8" ht="27.75" thickBot="1" x14ac:dyDescent="0.3">
      <c r="A28" s="45" t="s">
        <v>2</v>
      </c>
      <c r="B28" s="46" t="s">
        <v>14</v>
      </c>
      <c r="C28" s="45" t="s">
        <v>6</v>
      </c>
      <c r="D28" s="45" t="s">
        <v>12</v>
      </c>
    </row>
    <row r="29" spans="1:8" x14ac:dyDescent="0.25">
      <c r="A29" s="5"/>
      <c r="B29" s="4"/>
      <c r="C29" s="90" t="s">
        <v>30</v>
      </c>
      <c r="D29" s="9"/>
    </row>
    <row r="30" spans="1:8" x14ac:dyDescent="0.25">
      <c r="A30" s="1"/>
      <c r="B30" s="2"/>
      <c r="C30" s="10"/>
      <c r="D30" s="10"/>
    </row>
    <row r="31" spans="1:8" x14ac:dyDescent="0.25">
      <c r="A31" s="1"/>
      <c r="B31" s="2"/>
      <c r="C31" s="10"/>
      <c r="D31" s="10"/>
    </row>
    <row r="32" spans="1:8" ht="12.75" customHeight="1" x14ac:dyDescent="0.25">
      <c r="A32" s="1"/>
      <c r="B32" s="2"/>
      <c r="C32" s="91" t="s">
        <v>31</v>
      </c>
      <c r="D32" s="10"/>
      <c r="F32" s="31"/>
      <c r="G32" s="32"/>
      <c r="H32" s="33"/>
    </row>
    <row r="33" spans="1:8" ht="15" x14ac:dyDescent="0.25">
      <c r="A33" s="1"/>
      <c r="B33" s="2"/>
      <c r="C33" s="10"/>
      <c r="D33" s="10"/>
      <c r="F33" s="34"/>
      <c r="G33" s="30"/>
      <c r="H33" s="30"/>
    </row>
    <row r="34" spans="1:8" x14ac:dyDescent="0.25">
      <c r="A34" s="1"/>
      <c r="B34" s="2"/>
      <c r="C34" s="10"/>
      <c r="D34" s="10"/>
      <c r="F34" s="36"/>
      <c r="G34" s="37"/>
      <c r="H34" s="37"/>
    </row>
    <row r="35" spans="1:8" x14ac:dyDescent="0.25">
      <c r="A35" s="1"/>
      <c r="B35" s="2"/>
      <c r="C35" s="91" t="s">
        <v>32</v>
      </c>
      <c r="D35" s="10"/>
      <c r="F35" s="36"/>
      <c r="G35" s="37"/>
      <c r="H35" s="37"/>
    </row>
    <row r="36" spans="1:8" x14ac:dyDescent="0.25">
      <c r="A36" s="1"/>
      <c r="B36" s="2"/>
      <c r="C36" s="10"/>
      <c r="D36" s="10"/>
      <c r="F36" s="36"/>
      <c r="G36" s="37"/>
      <c r="H36" s="37"/>
    </row>
    <row r="37" spans="1:8" x14ac:dyDescent="0.25">
      <c r="A37" s="1"/>
      <c r="B37" s="2"/>
      <c r="C37" s="10"/>
      <c r="D37" s="10"/>
      <c r="F37" s="36"/>
      <c r="G37" s="37"/>
      <c r="H37" s="37"/>
    </row>
    <row r="38" spans="1:8" x14ac:dyDescent="0.25">
      <c r="A38" s="2"/>
      <c r="B38" s="2"/>
      <c r="C38" s="91" t="s">
        <v>33</v>
      </c>
      <c r="D38" s="10"/>
      <c r="F38" s="36"/>
      <c r="G38" s="37"/>
      <c r="H38" s="37"/>
    </row>
    <row r="39" spans="1:8" x14ac:dyDescent="0.25">
      <c r="A39" s="2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10"/>
      <c r="D40" s="10"/>
      <c r="F40" s="36"/>
      <c r="G40" s="37"/>
      <c r="H40" s="37"/>
    </row>
    <row r="41" spans="1:8" x14ac:dyDescent="0.25">
      <c r="A41" s="50"/>
      <c r="B41" s="50"/>
      <c r="C41" s="51"/>
      <c r="D41" s="51"/>
      <c r="F41" s="36"/>
      <c r="G41" s="37"/>
      <c r="H41" s="37"/>
    </row>
    <row r="42" spans="1:8" x14ac:dyDescent="0.25">
      <c r="A42" s="50"/>
      <c r="B42" s="50"/>
      <c r="C42" s="51"/>
      <c r="D42" s="51"/>
      <c r="F42" s="38"/>
      <c r="G42" s="39"/>
      <c r="H42" s="39"/>
    </row>
    <row r="43" spans="1:8" ht="15" thickBot="1" x14ac:dyDescent="0.35">
      <c r="A43" s="3"/>
      <c r="B43" s="3"/>
      <c r="C43" s="11"/>
      <c r="D43" s="11"/>
      <c r="F43" s="40"/>
      <c r="G43" s="40"/>
      <c r="H43" s="40"/>
    </row>
    <row r="44" spans="1:8" ht="14.25" thickBot="1" x14ac:dyDescent="0.3">
      <c r="A44" s="47" t="s">
        <v>21</v>
      </c>
      <c r="B44" s="47">
        <f>SUM(B29:B43)</f>
        <v>0</v>
      </c>
      <c r="C44" s="87" t="s">
        <v>28</v>
      </c>
      <c r="D44" s="48"/>
    </row>
    <row r="45" spans="1:8" ht="15" thickBot="1" x14ac:dyDescent="0.35">
      <c r="A45" s="49"/>
      <c r="B45" s="49"/>
      <c r="C45" s="49"/>
      <c r="D45" s="49"/>
    </row>
    <row r="46" spans="1:8" ht="18.75" thickBot="1" x14ac:dyDescent="0.3">
      <c r="A46" s="42" t="s">
        <v>13</v>
      </c>
      <c r="B46" s="43">
        <v>3</v>
      </c>
      <c r="C46" s="44" t="s">
        <v>22</v>
      </c>
      <c r="D46" s="53">
        <f>$D$27+7</f>
        <v>44963</v>
      </c>
    </row>
    <row r="47" spans="1:8" ht="27.75" thickBot="1" x14ac:dyDescent="0.3">
      <c r="A47" s="45" t="s">
        <v>2</v>
      </c>
      <c r="B47" s="46" t="s">
        <v>14</v>
      </c>
      <c r="C47" s="45" t="s">
        <v>6</v>
      </c>
      <c r="D47" s="45" t="s">
        <v>12</v>
      </c>
    </row>
    <row r="48" spans="1:8" x14ac:dyDescent="0.25">
      <c r="A48" s="5"/>
      <c r="B48" s="4"/>
      <c r="C48" s="90" t="s">
        <v>30</v>
      </c>
      <c r="D48" s="9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91" t="s">
        <v>31</v>
      </c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91" t="s">
        <v>32</v>
      </c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2"/>
      <c r="B57" s="2"/>
      <c r="C57" s="91" t="s">
        <v>33</v>
      </c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50"/>
      <c r="B60" s="50"/>
      <c r="C60" s="51"/>
      <c r="D60" s="51"/>
    </row>
    <row r="61" spans="1:4" x14ac:dyDescent="0.25">
      <c r="A61" s="50"/>
      <c r="B61" s="50"/>
      <c r="C61" s="51"/>
      <c r="D61" s="51"/>
    </row>
    <row r="62" spans="1:4" ht="14.25" thickBot="1" x14ac:dyDescent="0.3">
      <c r="A62" s="3"/>
      <c r="B62" s="3"/>
      <c r="C62" s="11"/>
      <c r="D62" s="11"/>
    </row>
    <row r="63" spans="1:4" ht="14.25" thickBot="1" x14ac:dyDescent="0.3">
      <c r="A63" s="47" t="s">
        <v>21</v>
      </c>
      <c r="B63" s="47">
        <f>SUM(B48:B62)</f>
        <v>0</v>
      </c>
      <c r="C63" s="87" t="s">
        <v>28</v>
      </c>
      <c r="D63" s="48"/>
    </row>
    <row r="64" spans="1:4" ht="15" thickBot="1" x14ac:dyDescent="0.35">
      <c r="A64" s="49"/>
      <c r="B64" s="49"/>
      <c r="C64" s="49"/>
      <c r="D64" s="49"/>
    </row>
    <row r="65" spans="1:4" ht="18.75" thickBot="1" x14ac:dyDescent="0.3">
      <c r="A65" s="42" t="s">
        <v>13</v>
      </c>
      <c r="B65" s="43">
        <v>4</v>
      </c>
      <c r="C65" s="44" t="s">
        <v>22</v>
      </c>
      <c r="D65" s="53">
        <f>$D$46+7</f>
        <v>44970</v>
      </c>
    </row>
    <row r="66" spans="1:4" ht="27.75" thickBot="1" x14ac:dyDescent="0.3">
      <c r="A66" s="45" t="s">
        <v>2</v>
      </c>
      <c r="B66" s="46" t="s">
        <v>14</v>
      </c>
      <c r="C66" s="45" t="s">
        <v>6</v>
      </c>
      <c r="D66" s="45" t="s">
        <v>12</v>
      </c>
    </row>
    <row r="67" spans="1:4" x14ac:dyDescent="0.25">
      <c r="A67" s="5" t="s">
        <v>34</v>
      </c>
      <c r="B67" s="4"/>
      <c r="C67" s="9" t="s">
        <v>34</v>
      </c>
      <c r="D67" s="9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47" t="s">
        <v>21</v>
      </c>
      <c r="B69" s="47">
        <f>SUM(B67:B68)</f>
        <v>0</v>
      </c>
      <c r="C69" s="87" t="s">
        <v>28</v>
      </c>
      <c r="D69" s="48"/>
    </row>
    <row r="70" spans="1:4" ht="15" thickBot="1" x14ac:dyDescent="0.35">
      <c r="A70" s="49"/>
      <c r="B70" s="49"/>
      <c r="C70" s="49"/>
      <c r="D70" s="49"/>
    </row>
    <row r="71" spans="1:4" ht="18.75" thickBot="1" x14ac:dyDescent="0.3">
      <c r="A71" s="42" t="s">
        <v>13</v>
      </c>
      <c r="B71" s="43">
        <v>5</v>
      </c>
      <c r="C71" s="44" t="s">
        <v>22</v>
      </c>
      <c r="D71" s="53">
        <f>$D$65+7</f>
        <v>44977</v>
      </c>
    </row>
    <row r="72" spans="1:4" ht="27.75" thickBot="1" x14ac:dyDescent="0.3">
      <c r="A72" s="45" t="s">
        <v>2</v>
      </c>
      <c r="B72" s="46" t="s">
        <v>14</v>
      </c>
      <c r="C72" s="45" t="s">
        <v>6</v>
      </c>
      <c r="D72" s="45" t="s">
        <v>12</v>
      </c>
    </row>
    <row r="73" spans="1:4" x14ac:dyDescent="0.25">
      <c r="A73" s="5"/>
      <c r="B73" s="4"/>
      <c r="C73" s="90" t="s">
        <v>30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91" t="s">
        <v>31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91" t="s">
        <v>32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2"/>
      <c r="B82" s="2"/>
      <c r="C82" s="91" t="s">
        <v>33</v>
      </c>
      <c r="D82" s="10"/>
    </row>
    <row r="83" spans="1:4" x14ac:dyDescent="0.25">
      <c r="A83" s="2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x14ac:dyDescent="0.25">
      <c r="A85" s="50"/>
      <c r="B85" s="50"/>
      <c r="C85" s="51"/>
      <c r="D85" s="51"/>
    </row>
    <row r="86" spans="1:4" x14ac:dyDescent="0.25">
      <c r="A86" s="50"/>
      <c r="B86" s="50"/>
      <c r="C86" s="51"/>
      <c r="D86" s="51"/>
    </row>
    <row r="87" spans="1:4" ht="14.25" thickBot="1" x14ac:dyDescent="0.3">
      <c r="A87" s="3"/>
      <c r="B87" s="3"/>
      <c r="C87" s="11"/>
      <c r="D87" s="11"/>
    </row>
    <row r="88" spans="1:4" ht="14.25" thickBot="1" x14ac:dyDescent="0.3">
      <c r="A88" s="47" t="s">
        <v>21</v>
      </c>
      <c r="B88" s="47">
        <f>SUM(B73:B87)</f>
        <v>0</v>
      </c>
      <c r="C88" s="87" t="s">
        <v>28</v>
      </c>
      <c r="D88" s="48"/>
    </row>
    <row r="89" spans="1:4" ht="15" thickBot="1" x14ac:dyDescent="0.35">
      <c r="A89" s="49"/>
      <c r="B89" s="49"/>
      <c r="C89" s="49"/>
      <c r="D89" s="49"/>
    </row>
    <row r="90" spans="1:4" ht="18.75" thickBot="1" x14ac:dyDescent="0.3">
      <c r="A90" s="42" t="s">
        <v>13</v>
      </c>
      <c r="B90" s="43">
        <v>6</v>
      </c>
      <c r="C90" s="44" t="s">
        <v>22</v>
      </c>
      <c r="D90" s="53">
        <f>$D$71+7</f>
        <v>44984</v>
      </c>
    </row>
    <row r="91" spans="1:4" ht="27.75" thickBot="1" x14ac:dyDescent="0.3">
      <c r="A91" s="45" t="s">
        <v>2</v>
      </c>
      <c r="B91" s="46" t="s">
        <v>14</v>
      </c>
      <c r="C91" s="45" t="s">
        <v>6</v>
      </c>
      <c r="D91" s="45" t="s">
        <v>12</v>
      </c>
    </row>
    <row r="92" spans="1:4" x14ac:dyDescent="0.25">
      <c r="A92" s="5"/>
      <c r="B92" s="4"/>
      <c r="C92" s="90" t="s">
        <v>30</v>
      </c>
      <c r="D92" s="9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91" t="s">
        <v>31</v>
      </c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91" t="s">
        <v>32</v>
      </c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2"/>
      <c r="B101" s="2"/>
      <c r="C101" s="91" t="s">
        <v>33</v>
      </c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50"/>
      <c r="B104" s="50"/>
      <c r="C104" s="51"/>
      <c r="D104" s="51"/>
    </row>
    <row r="105" spans="1:4" x14ac:dyDescent="0.25">
      <c r="A105" s="50"/>
      <c r="B105" s="50"/>
      <c r="C105" s="51"/>
      <c r="D105" s="51"/>
    </row>
    <row r="106" spans="1:4" ht="14.25" thickBot="1" x14ac:dyDescent="0.3">
      <c r="A106" s="3"/>
      <c r="B106" s="3"/>
      <c r="C106" s="11"/>
      <c r="D106" s="11"/>
    </row>
    <row r="107" spans="1:4" ht="14.25" thickBot="1" x14ac:dyDescent="0.3">
      <c r="A107" s="47" t="s">
        <v>21</v>
      </c>
      <c r="B107" s="47">
        <f>SUM(B92:B106)</f>
        <v>0</v>
      </c>
      <c r="C107" s="87" t="s">
        <v>28</v>
      </c>
      <c r="D107" s="48"/>
    </row>
    <row r="108" spans="1:4" ht="15" thickBot="1" x14ac:dyDescent="0.35">
      <c r="A108" s="49"/>
      <c r="B108" s="49"/>
      <c r="C108" s="49"/>
      <c r="D108" s="49"/>
    </row>
    <row r="109" spans="1:4" ht="18.75" thickBot="1" x14ac:dyDescent="0.3">
      <c r="A109" s="42" t="s">
        <v>13</v>
      </c>
      <c r="B109" s="43">
        <v>7</v>
      </c>
      <c r="C109" s="44" t="s">
        <v>22</v>
      </c>
      <c r="D109" s="53">
        <f>$D$90+7</f>
        <v>44991</v>
      </c>
    </row>
    <row r="110" spans="1:4" ht="27.75" thickBot="1" x14ac:dyDescent="0.3">
      <c r="A110" s="45" t="s">
        <v>2</v>
      </c>
      <c r="B110" s="46" t="s">
        <v>14</v>
      </c>
      <c r="C110" s="45" t="s">
        <v>6</v>
      </c>
      <c r="D110" s="45" t="s">
        <v>12</v>
      </c>
    </row>
    <row r="111" spans="1:4" x14ac:dyDescent="0.25">
      <c r="A111" s="5"/>
      <c r="B111" s="4"/>
      <c r="C111" s="90" t="s">
        <v>30</v>
      </c>
      <c r="D111" s="9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91" t="s">
        <v>31</v>
      </c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91" t="s">
        <v>32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2"/>
      <c r="B120" s="2"/>
      <c r="C120" s="91" t="s">
        <v>33</v>
      </c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50"/>
      <c r="B123" s="50"/>
      <c r="C123" s="51"/>
      <c r="D123" s="51"/>
    </row>
    <row r="124" spans="1:4" x14ac:dyDescent="0.25">
      <c r="A124" s="50"/>
      <c r="B124" s="50"/>
      <c r="C124" s="51"/>
      <c r="D124" s="51"/>
    </row>
    <row r="125" spans="1:4" ht="14.25" thickBot="1" x14ac:dyDescent="0.3">
      <c r="A125" s="3"/>
      <c r="B125" s="3"/>
      <c r="C125" s="11"/>
      <c r="D125" s="11"/>
    </row>
    <row r="126" spans="1:4" ht="14.25" thickBot="1" x14ac:dyDescent="0.3">
      <c r="A126" s="47" t="s">
        <v>21</v>
      </c>
      <c r="B126" s="47">
        <f>SUM(B111:B125)</f>
        <v>0</v>
      </c>
      <c r="C126" s="87" t="s">
        <v>28</v>
      </c>
      <c r="D126" s="48"/>
    </row>
    <row r="127" spans="1:4" ht="15" thickBot="1" x14ac:dyDescent="0.35">
      <c r="A127" s="49"/>
      <c r="B127" s="49"/>
      <c r="C127" s="49"/>
      <c r="D127" s="49"/>
    </row>
    <row r="128" spans="1:4" ht="18.75" thickBot="1" x14ac:dyDescent="0.3">
      <c r="A128" s="42" t="s">
        <v>13</v>
      </c>
      <c r="B128" s="43">
        <v>8</v>
      </c>
      <c r="C128" s="44" t="s">
        <v>22</v>
      </c>
      <c r="D128" s="53">
        <f>$D$109+7</f>
        <v>44998</v>
      </c>
    </row>
    <row r="129" spans="1:4" ht="27.75" thickBot="1" x14ac:dyDescent="0.3">
      <c r="A129" s="45" t="s">
        <v>2</v>
      </c>
      <c r="B129" s="46" t="s">
        <v>14</v>
      </c>
      <c r="C129" s="45" t="s">
        <v>6</v>
      </c>
      <c r="D129" s="45" t="s">
        <v>12</v>
      </c>
    </row>
    <row r="130" spans="1:4" x14ac:dyDescent="0.25">
      <c r="A130" s="5"/>
      <c r="B130" s="4"/>
      <c r="C130" s="90" t="s">
        <v>30</v>
      </c>
      <c r="D130" s="9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91" t="s">
        <v>31</v>
      </c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91" t="s">
        <v>32</v>
      </c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2"/>
      <c r="B139" s="2"/>
      <c r="C139" s="91" t="s">
        <v>33</v>
      </c>
      <c r="D139" s="10"/>
    </row>
    <row r="140" spans="1:4" x14ac:dyDescent="0.25">
      <c r="A140" s="2"/>
      <c r="B140" s="2"/>
      <c r="C140" s="10"/>
      <c r="D140" s="10"/>
    </row>
    <row r="141" spans="1:4" x14ac:dyDescent="0.25">
      <c r="A141" s="2"/>
      <c r="B141" s="2"/>
      <c r="C141" s="10"/>
      <c r="D141" s="10"/>
    </row>
    <row r="142" spans="1:4" x14ac:dyDescent="0.25">
      <c r="A142" s="50"/>
      <c r="B142" s="50"/>
      <c r="C142" s="51"/>
      <c r="D142" s="51"/>
    </row>
    <row r="143" spans="1:4" x14ac:dyDescent="0.25">
      <c r="A143" s="50"/>
      <c r="B143" s="50"/>
      <c r="C143" s="51"/>
      <c r="D143" s="51"/>
    </row>
    <row r="144" spans="1:4" ht="14.25" thickBot="1" x14ac:dyDescent="0.3">
      <c r="A144" s="3"/>
      <c r="B144" s="3"/>
      <c r="C144" s="11"/>
      <c r="D144" s="11"/>
    </row>
    <row r="145" spans="1:4" ht="14.25" thickBot="1" x14ac:dyDescent="0.3">
      <c r="A145" s="47" t="s">
        <v>21</v>
      </c>
      <c r="B145" s="47">
        <f>SUM(B130:B144)</f>
        <v>0</v>
      </c>
      <c r="C145" s="87" t="s">
        <v>28</v>
      </c>
      <c r="D145" s="48"/>
    </row>
    <row r="146" spans="1:4" ht="15" thickBot="1" x14ac:dyDescent="0.35">
      <c r="A146" s="49"/>
      <c r="B146" s="49"/>
      <c r="C146" s="49"/>
      <c r="D146" s="49"/>
    </row>
    <row r="147" spans="1:4" ht="18.75" thickBot="1" x14ac:dyDescent="0.3">
      <c r="A147" s="42" t="s">
        <v>13</v>
      </c>
      <c r="B147" s="43">
        <v>9</v>
      </c>
      <c r="C147" s="44" t="s">
        <v>22</v>
      </c>
      <c r="D147" s="53">
        <f>$D$128+7</f>
        <v>45005</v>
      </c>
    </row>
    <row r="148" spans="1:4" ht="27.75" thickBot="1" x14ac:dyDescent="0.3">
      <c r="A148" s="45" t="s">
        <v>2</v>
      </c>
      <c r="B148" s="46" t="s">
        <v>14</v>
      </c>
      <c r="C148" s="45" t="s">
        <v>6</v>
      </c>
      <c r="D148" s="45" t="s">
        <v>12</v>
      </c>
    </row>
    <row r="149" spans="1:4" x14ac:dyDescent="0.25">
      <c r="A149" s="5"/>
      <c r="B149" s="4"/>
      <c r="C149" s="90" t="s">
        <v>30</v>
      </c>
      <c r="D149" s="9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91" t="s">
        <v>31</v>
      </c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91" t="s">
        <v>32</v>
      </c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2"/>
      <c r="B158" s="2"/>
      <c r="C158" s="91" t="s">
        <v>33</v>
      </c>
      <c r="D158" s="10"/>
    </row>
    <row r="159" spans="1:4" x14ac:dyDescent="0.25">
      <c r="A159" s="2"/>
      <c r="B159" s="2"/>
      <c r="C159" s="10"/>
      <c r="D159" s="10"/>
    </row>
    <row r="160" spans="1:4" x14ac:dyDescent="0.25">
      <c r="A160" s="2"/>
      <c r="B160" s="2"/>
      <c r="C160" s="10"/>
      <c r="D160" s="10"/>
    </row>
    <row r="161" spans="1:4" x14ac:dyDescent="0.25">
      <c r="A161" s="50"/>
      <c r="B161" s="50"/>
      <c r="C161" s="51"/>
      <c r="D161" s="51"/>
    </row>
    <row r="162" spans="1:4" x14ac:dyDescent="0.25">
      <c r="A162" s="50"/>
      <c r="B162" s="50"/>
      <c r="C162" s="51"/>
      <c r="D162" s="51"/>
    </row>
    <row r="163" spans="1:4" ht="14.25" thickBot="1" x14ac:dyDescent="0.3">
      <c r="A163" s="3"/>
      <c r="B163" s="3"/>
      <c r="C163" s="11"/>
      <c r="D163" s="11"/>
    </row>
    <row r="164" spans="1:4" ht="14.25" thickBot="1" x14ac:dyDescent="0.3">
      <c r="A164" s="47" t="s">
        <v>21</v>
      </c>
      <c r="B164" s="47">
        <f>SUM(B149:B163)</f>
        <v>0</v>
      </c>
      <c r="C164" s="87" t="s">
        <v>28</v>
      </c>
      <c r="D164" s="48"/>
    </row>
    <row r="165" spans="1:4" ht="14.25" x14ac:dyDescent="0.3">
      <c r="A165" s="49"/>
      <c r="B165" s="49"/>
      <c r="C165" s="49"/>
      <c r="D165" s="49"/>
    </row>
    <row r="166" spans="1:4" x14ac:dyDescent="0.25">
      <c r="A166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4:F41 B29:B43 B48:B62 B73:B87 B92:B106 B111:B125 B130:B144 B149:B163 B67:B68 B3:B24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4 B63 B69 B88 B107 B126 B145 B164" xr:uid="{EACDBB53-AF42-441D-8FB7-12197BB4F1D8}">
      <formula1>0</formula1>
      <formula2>NbPerWeek * NbQuartPer</formula2>
    </dataValidation>
    <dataValidation type="list" allowBlank="1" showInputMessage="1" showErrorMessage="1" sqref="A29:A43 A48:A62 A73:A87 A92:A106 A111:A125 A130:A144 A149:A163 A67:A68 A3:A24" xr:uid="{286F5A95-1D90-4A02-BFAE-0A6CAEA4CC2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0"/>
  <sheetViews>
    <sheetView topLeftCell="A22" workbookViewId="0">
      <selection activeCell="C139" sqref="C1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89"/>
    </row>
    <row r="5" spans="1:4" s="52" customFormat="1" x14ac:dyDescent="0.25">
      <c r="A5" s="1" t="s">
        <v>43</v>
      </c>
      <c r="B5" s="2">
        <v>1</v>
      </c>
      <c r="C5" s="10" t="s">
        <v>36</v>
      </c>
      <c r="D5" s="89"/>
    </row>
    <row r="6" spans="1:4" s="52" customFormat="1" x14ac:dyDescent="0.25">
      <c r="A6" s="1" t="s">
        <v>43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71</v>
      </c>
      <c r="B15" s="2">
        <v>2</v>
      </c>
      <c r="C15" s="10" t="s">
        <v>74</v>
      </c>
      <c r="D15" s="10"/>
    </row>
    <row r="16" spans="1:4" s="52" customFormat="1" ht="40.5" x14ac:dyDescent="0.25">
      <c r="A16" s="1" t="s">
        <v>71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ht="40.5" x14ac:dyDescent="0.25">
      <c r="A19" s="1" t="s">
        <v>71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ht="40.5" x14ac:dyDescent="0.25">
      <c r="A24" s="1" t="s">
        <v>71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x14ac:dyDescent="0.25">
      <c r="A34" s="1"/>
      <c r="B34" s="2"/>
      <c r="C34" s="10"/>
      <c r="D34" s="10"/>
    </row>
    <row r="35" spans="1:8" x14ac:dyDescent="0.25">
      <c r="A35" s="1"/>
      <c r="B35" s="2"/>
      <c r="C35" s="10"/>
      <c r="D35" s="10"/>
    </row>
    <row r="36" spans="1:8" ht="12.75" customHeight="1" x14ac:dyDescent="0.25">
      <c r="A36" s="1"/>
      <c r="B36" s="2"/>
      <c r="C36" s="91" t="s">
        <v>31</v>
      </c>
      <c r="D36" s="10"/>
      <c r="F36" s="31"/>
      <c r="G36" s="32"/>
      <c r="H36" s="33"/>
    </row>
    <row r="37" spans="1:8" ht="15" x14ac:dyDescent="0.25">
      <c r="A37" s="1"/>
      <c r="B37" s="2"/>
      <c r="C37" s="10"/>
      <c r="D37" s="10"/>
      <c r="F37" s="34"/>
      <c r="G37" s="30"/>
      <c r="H37" s="30"/>
    </row>
    <row r="38" spans="1:8" ht="15" x14ac:dyDescent="0.25">
      <c r="A38" s="1"/>
      <c r="B38" s="2"/>
      <c r="C38" s="10"/>
      <c r="D38" s="10"/>
      <c r="F38" s="34"/>
      <c r="G38" s="30"/>
      <c r="H38" s="30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32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91" t="s">
        <v>33</v>
      </c>
      <c r="D43" s="51"/>
      <c r="F43" s="36"/>
      <c r="G43" s="37"/>
      <c r="H43" s="37"/>
    </row>
    <row r="44" spans="1:8" x14ac:dyDescent="0.25">
      <c r="A44" s="50"/>
      <c r="B44" s="50"/>
      <c r="C44" s="154"/>
      <c r="D44" s="51"/>
      <c r="F44" s="36"/>
      <c r="G44" s="37"/>
      <c r="H44" s="37"/>
    </row>
    <row r="45" spans="1:8" ht="14.25" thickBot="1" x14ac:dyDescent="0.3">
      <c r="A45" s="3"/>
      <c r="B45" s="3"/>
      <c r="C45" s="155"/>
      <c r="D45" s="11"/>
      <c r="F45" s="36"/>
      <c r="G45" s="37"/>
      <c r="H45" s="37"/>
    </row>
    <row r="46" spans="1:8" ht="14.25" thickBot="1" x14ac:dyDescent="0.3">
      <c r="A46" s="12" t="s">
        <v>21</v>
      </c>
      <c r="B46" s="12">
        <f>SUM(B33:B45)</f>
        <v>0</v>
      </c>
      <c r="C46" s="93" t="s">
        <v>28</v>
      </c>
      <c r="D46" s="13"/>
      <c r="F46" s="36"/>
      <c r="G46" s="37"/>
      <c r="H46" s="37"/>
    </row>
    <row r="47" spans="1:8" ht="15" thickBot="1" x14ac:dyDescent="0.35">
      <c r="A47" s="14"/>
      <c r="B47" s="14"/>
      <c r="C47" s="14"/>
      <c r="D47" s="14"/>
      <c r="F47" s="36"/>
      <c r="G47" s="37"/>
      <c r="H47" s="37"/>
    </row>
    <row r="48" spans="1:8" ht="18.75" thickBot="1" x14ac:dyDescent="0.3">
      <c r="A48" s="6" t="s">
        <v>13</v>
      </c>
      <c r="B48" s="7">
        <v>3</v>
      </c>
      <c r="C48" s="17"/>
      <c r="D48" s="84"/>
      <c r="F48" s="36"/>
      <c r="G48" s="37"/>
      <c r="H48" s="37"/>
    </row>
    <row r="49" spans="1:8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  <c r="F49" s="38"/>
      <c r="G49" s="39"/>
      <c r="H49" s="39"/>
    </row>
    <row r="50" spans="1:8" x14ac:dyDescent="0.25">
      <c r="A50" s="5"/>
      <c r="B50" s="4"/>
      <c r="C50" s="90" t="s">
        <v>30</v>
      </c>
      <c r="D50" s="9"/>
    </row>
    <row r="51" spans="1:8" x14ac:dyDescent="0.25">
      <c r="A51" s="1"/>
      <c r="B51" s="2"/>
      <c r="C51" s="10"/>
      <c r="D51" s="10"/>
    </row>
    <row r="52" spans="1:8" x14ac:dyDescent="0.25">
      <c r="A52" s="1"/>
      <c r="B52" s="2"/>
      <c r="C52" s="10"/>
      <c r="D52" s="10"/>
    </row>
    <row r="53" spans="1:8" ht="12.75" customHeight="1" x14ac:dyDescent="0.25">
      <c r="A53" s="1"/>
      <c r="B53" s="2"/>
      <c r="C53" s="91" t="s">
        <v>31</v>
      </c>
      <c r="D53" s="10"/>
      <c r="F53" s="31"/>
      <c r="G53" s="32"/>
      <c r="H53" s="33"/>
    </row>
    <row r="54" spans="1:8" ht="15" x14ac:dyDescent="0.25">
      <c r="A54" s="1"/>
      <c r="B54" s="2"/>
      <c r="C54" s="10"/>
      <c r="D54" s="10"/>
      <c r="F54" s="34"/>
      <c r="G54" s="30"/>
      <c r="H54" s="30"/>
    </row>
    <row r="55" spans="1:8" ht="15" x14ac:dyDescent="0.25">
      <c r="A55" s="1"/>
      <c r="B55" s="2"/>
      <c r="C55" s="10"/>
      <c r="D55" s="10"/>
      <c r="F55" s="34"/>
      <c r="G55" s="30"/>
      <c r="H55" s="30"/>
    </row>
    <row r="56" spans="1:8" x14ac:dyDescent="0.25">
      <c r="A56" s="1"/>
      <c r="B56" s="2"/>
      <c r="C56" s="10"/>
      <c r="D56" s="10"/>
      <c r="F56" s="36"/>
      <c r="G56" s="37"/>
      <c r="H56" s="37"/>
    </row>
    <row r="57" spans="1:8" x14ac:dyDescent="0.25">
      <c r="A57" s="2"/>
      <c r="B57" s="2"/>
      <c r="C57" s="91" t="s">
        <v>32</v>
      </c>
      <c r="D57" s="10"/>
      <c r="F57" s="36"/>
      <c r="G57" s="37"/>
      <c r="H57" s="37"/>
    </row>
    <row r="58" spans="1:8" x14ac:dyDescent="0.25">
      <c r="A58" s="2"/>
      <c r="B58" s="2"/>
      <c r="C58" s="10"/>
      <c r="D58" s="10"/>
      <c r="F58" s="36"/>
      <c r="G58" s="37"/>
      <c r="H58" s="37"/>
    </row>
    <row r="59" spans="1:8" x14ac:dyDescent="0.25">
      <c r="A59" s="2"/>
      <c r="B59" s="2"/>
      <c r="C59" s="10"/>
      <c r="D59" s="10"/>
      <c r="F59" s="36"/>
      <c r="G59" s="37"/>
      <c r="H59" s="37"/>
    </row>
    <row r="60" spans="1:8" x14ac:dyDescent="0.25">
      <c r="A60" s="50"/>
      <c r="B60" s="50"/>
      <c r="C60" s="91" t="s">
        <v>33</v>
      </c>
      <c r="D60" s="51"/>
      <c r="F60" s="36"/>
      <c r="G60" s="37"/>
      <c r="H60" s="37"/>
    </row>
    <row r="61" spans="1:8" ht="14.25" thickBot="1" x14ac:dyDescent="0.3">
      <c r="A61" s="50"/>
      <c r="B61" s="50"/>
      <c r="C61" s="154"/>
      <c r="D61" s="51"/>
      <c r="F61" s="36"/>
      <c r="G61" s="37"/>
      <c r="H61" s="37"/>
    </row>
    <row r="62" spans="1:8" ht="14.25" thickBot="1" x14ac:dyDescent="0.3">
      <c r="A62" s="12" t="s">
        <v>21</v>
      </c>
      <c r="B62" s="12">
        <f>SUM(B50:B61)</f>
        <v>0</v>
      </c>
      <c r="C62" s="93" t="s">
        <v>28</v>
      </c>
      <c r="D62" s="13"/>
    </row>
    <row r="63" spans="1:8" ht="15" thickBot="1" x14ac:dyDescent="0.35">
      <c r="A63" s="14"/>
      <c r="B63" s="14"/>
      <c r="C63" s="14"/>
      <c r="D63" s="14"/>
    </row>
    <row r="64" spans="1:8" ht="18.75" thickBot="1" x14ac:dyDescent="0.3">
      <c r="A64" s="6" t="s">
        <v>13</v>
      </c>
      <c r="B64" s="7">
        <v>4</v>
      </c>
      <c r="C64" s="17"/>
      <c r="D64" s="84"/>
    </row>
    <row r="65" spans="1:8" ht="27.75" thickBot="1" x14ac:dyDescent="0.3">
      <c r="A65" s="8" t="s">
        <v>2</v>
      </c>
      <c r="B65" s="18" t="s">
        <v>14</v>
      </c>
      <c r="C65" s="8" t="s">
        <v>6</v>
      </c>
      <c r="D65" s="8" t="s">
        <v>12</v>
      </c>
    </row>
    <row r="66" spans="1:8" x14ac:dyDescent="0.25">
      <c r="A66" s="5" t="s">
        <v>34</v>
      </c>
      <c r="B66" s="4"/>
      <c r="C66" s="164" t="s">
        <v>34</v>
      </c>
      <c r="D66" s="9"/>
    </row>
    <row r="67" spans="1:8" ht="14.25" thickBot="1" x14ac:dyDescent="0.3">
      <c r="A67" s="50"/>
      <c r="B67" s="50"/>
      <c r="C67" s="154"/>
      <c r="D67" s="51"/>
      <c r="F67" s="36"/>
      <c r="G67" s="37"/>
      <c r="H67" s="37"/>
    </row>
    <row r="68" spans="1:8" ht="14.25" thickBot="1" x14ac:dyDescent="0.3">
      <c r="A68" s="12" t="s">
        <v>21</v>
      </c>
      <c r="B68" s="12">
        <f>SUM(B66:B67)</f>
        <v>0</v>
      </c>
      <c r="C68" s="93" t="s">
        <v>28</v>
      </c>
      <c r="D68" s="13"/>
    </row>
    <row r="69" spans="1:8" ht="15" thickBot="1" x14ac:dyDescent="0.35">
      <c r="A69" s="14"/>
      <c r="B69" s="14"/>
      <c r="C69" s="14"/>
      <c r="D69" s="14"/>
    </row>
    <row r="70" spans="1:8" ht="18.75" thickBot="1" x14ac:dyDescent="0.3">
      <c r="A70" s="6" t="s">
        <v>13</v>
      </c>
      <c r="B70" s="7">
        <v>5</v>
      </c>
      <c r="C70" s="17"/>
      <c r="D70" s="84"/>
    </row>
    <row r="71" spans="1:8" ht="27.75" thickBot="1" x14ac:dyDescent="0.3">
      <c r="A71" s="8" t="s">
        <v>2</v>
      </c>
      <c r="B71" s="18" t="s">
        <v>14</v>
      </c>
      <c r="C71" s="8" t="s">
        <v>6</v>
      </c>
      <c r="D71" s="8" t="s">
        <v>12</v>
      </c>
    </row>
    <row r="72" spans="1:8" x14ac:dyDescent="0.25">
      <c r="A72" s="5"/>
      <c r="B72" s="4"/>
      <c r="C72" s="90" t="s">
        <v>30</v>
      </c>
      <c r="D72" s="9"/>
    </row>
    <row r="73" spans="1:8" x14ac:dyDescent="0.25">
      <c r="A73" s="1"/>
      <c r="B73" s="2"/>
      <c r="C73" s="10"/>
      <c r="D73" s="10"/>
    </row>
    <row r="74" spans="1:8" x14ac:dyDescent="0.25">
      <c r="A74" s="1"/>
      <c r="B74" s="2"/>
      <c r="C74" s="10"/>
      <c r="D74" s="10"/>
    </row>
    <row r="75" spans="1:8" ht="12.75" customHeight="1" x14ac:dyDescent="0.25">
      <c r="A75" s="1"/>
      <c r="B75" s="2"/>
      <c r="C75" s="91" t="s">
        <v>31</v>
      </c>
      <c r="D75" s="10"/>
      <c r="F75" s="31"/>
      <c r="G75" s="32"/>
      <c r="H75" s="33"/>
    </row>
    <row r="76" spans="1:8" ht="15" x14ac:dyDescent="0.25">
      <c r="A76" s="1"/>
      <c r="B76" s="2"/>
      <c r="C76" s="10"/>
      <c r="D76" s="10"/>
      <c r="F76" s="34"/>
      <c r="G76" s="30"/>
      <c r="H76" s="30"/>
    </row>
    <row r="77" spans="1:8" ht="15" x14ac:dyDescent="0.25">
      <c r="A77" s="1"/>
      <c r="B77" s="2"/>
      <c r="C77" s="10"/>
      <c r="D77" s="10"/>
      <c r="F77" s="34"/>
      <c r="G77" s="30"/>
      <c r="H77" s="30"/>
    </row>
    <row r="78" spans="1:8" x14ac:dyDescent="0.25">
      <c r="A78" s="1"/>
      <c r="B78" s="2"/>
      <c r="C78" s="10"/>
      <c r="D78" s="10"/>
      <c r="F78" s="36"/>
      <c r="G78" s="37"/>
      <c r="H78" s="37"/>
    </row>
    <row r="79" spans="1:8" x14ac:dyDescent="0.25">
      <c r="A79" s="2"/>
      <c r="B79" s="2"/>
      <c r="C79" s="91" t="s">
        <v>32</v>
      </c>
      <c r="D79" s="10"/>
      <c r="F79" s="36"/>
      <c r="G79" s="37"/>
      <c r="H79" s="37"/>
    </row>
    <row r="80" spans="1:8" x14ac:dyDescent="0.25">
      <c r="A80" s="2"/>
      <c r="B80" s="2"/>
      <c r="C80" s="10"/>
      <c r="D80" s="10"/>
      <c r="F80" s="36"/>
      <c r="G80" s="37"/>
      <c r="H80" s="37"/>
    </row>
    <row r="81" spans="1:8" x14ac:dyDescent="0.25">
      <c r="A81" s="2"/>
      <c r="B81" s="2"/>
      <c r="C81" s="10"/>
      <c r="D81" s="10"/>
      <c r="F81" s="36"/>
      <c r="G81" s="37"/>
      <c r="H81" s="37"/>
    </row>
    <row r="82" spans="1:8" x14ac:dyDescent="0.25">
      <c r="A82" s="50"/>
      <c r="B82" s="50"/>
      <c r="C82" s="91" t="s">
        <v>33</v>
      </c>
      <c r="D82" s="51"/>
      <c r="F82" s="36"/>
      <c r="G82" s="37"/>
      <c r="H82" s="37"/>
    </row>
    <row r="83" spans="1:8" ht="14.25" thickBot="1" x14ac:dyDescent="0.3">
      <c r="A83" s="50"/>
      <c r="B83" s="50"/>
      <c r="C83" s="154"/>
      <c r="D83" s="51"/>
      <c r="F83" s="36"/>
      <c r="G83" s="37"/>
      <c r="H83" s="37"/>
    </row>
    <row r="84" spans="1:8" ht="14.25" thickBot="1" x14ac:dyDescent="0.3">
      <c r="A84" s="12" t="s">
        <v>21</v>
      </c>
      <c r="B84" s="12">
        <f>SUM(B72:B83)</f>
        <v>0</v>
      </c>
      <c r="C84" s="93" t="s">
        <v>28</v>
      </c>
      <c r="D84" s="13"/>
    </row>
    <row r="85" spans="1:8" ht="15" thickBot="1" x14ac:dyDescent="0.35">
      <c r="A85" s="14"/>
      <c r="B85" s="14"/>
      <c r="C85" s="14"/>
      <c r="D85" s="14"/>
    </row>
    <row r="86" spans="1:8" ht="18.75" thickBot="1" x14ac:dyDescent="0.3">
      <c r="A86" s="6" t="s">
        <v>13</v>
      </c>
      <c r="B86" s="7">
        <v>6</v>
      </c>
      <c r="C86" s="17"/>
      <c r="D86" s="84"/>
    </row>
    <row r="87" spans="1:8" ht="27.75" thickBot="1" x14ac:dyDescent="0.3">
      <c r="A87" s="8" t="s">
        <v>2</v>
      </c>
      <c r="B87" s="18" t="s">
        <v>14</v>
      </c>
      <c r="C87" s="8" t="s">
        <v>6</v>
      </c>
      <c r="D87" s="8" t="s">
        <v>12</v>
      </c>
    </row>
    <row r="88" spans="1:8" x14ac:dyDescent="0.25">
      <c r="A88" s="5"/>
      <c r="B88" s="4"/>
      <c r="C88" s="90" t="s">
        <v>30</v>
      </c>
      <c r="D88" s="9"/>
    </row>
    <row r="89" spans="1:8" x14ac:dyDescent="0.25">
      <c r="A89" s="1"/>
      <c r="B89" s="2"/>
      <c r="C89" s="10"/>
      <c r="D89" s="10"/>
    </row>
    <row r="90" spans="1:8" x14ac:dyDescent="0.25">
      <c r="A90" s="1"/>
      <c r="B90" s="2"/>
      <c r="C90" s="10"/>
      <c r="D90" s="10"/>
    </row>
    <row r="91" spans="1:8" ht="12.75" customHeight="1" x14ac:dyDescent="0.25">
      <c r="A91" s="1"/>
      <c r="B91" s="2"/>
      <c r="C91" s="91" t="s">
        <v>31</v>
      </c>
      <c r="D91" s="10"/>
      <c r="F91" s="31"/>
      <c r="G91" s="32"/>
      <c r="H91" s="33"/>
    </row>
    <row r="92" spans="1:8" ht="15" x14ac:dyDescent="0.25">
      <c r="A92" s="1"/>
      <c r="B92" s="2"/>
      <c r="C92" s="10"/>
      <c r="D92" s="10"/>
      <c r="F92" s="34"/>
      <c r="G92" s="30"/>
      <c r="H92" s="30"/>
    </row>
    <row r="93" spans="1:8" ht="15" x14ac:dyDescent="0.25">
      <c r="A93" s="1"/>
      <c r="B93" s="2"/>
      <c r="C93" s="10"/>
      <c r="D93" s="10"/>
      <c r="F93" s="34"/>
      <c r="G93" s="30"/>
      <c r="H93" s="30"/>
    </row>
    <row r="94" spans="1:8" x14ac:dyDescent="0.25">
      <c r="A94" s="1"/>
      <c r="B94" s="2"/>
      <c r="C94" s="10"/>
      <c r="D94" s="10"/>
      <c r="F94" s="36"/>
      <c r="G94" s="37"/>
      <c r="H94" s="37"/>
    </row>
    <row r="95" spans="1:8" x14ac:dyDescent="0.25">
      <c r="A95" s="2"/>
      <c r="B95" s="2"/>
      <c r="C95" s="91" t="s">
        <v>32</v>
      </c>
      <c r="D95" s="10"/>
      <c r="F95" s="36"/>
      <c r="G95" s="37"/>
      <c r="H95" s="37"/>
    </row>
    <row r="96" spans="1:8" x14ac:dyDescent="0.25">
      <c r="A96" s="2"/>
      <c r="B96" s="2"/>
      <c r="C96" s="10"/>
      <c r="D96" s="10"/>
      <c r="F96" s="36"/>
      <c r="G96" s="37"/>
      <c r="H96" s="37"/>
    </row>
    <row r="97" spans="1:8" x14ac:dyDescent="0.25">
      <c r="A97" s="2"/>
      <c r="B97" s="2"/>
      <c r="C97" s="10"/>
      <c r="D97" s="10"/>
      <c r="F97" s="36"/>
      <c r="G97" s="37"/>
      <c r="H97" s="37"/>
    </row>
    <row r="98" spans="1:8" x14ac:dyDescent="0.25">
      <c r="A98" s="50"/>
      <c r="B98" s="50"/>
      <c r="C98" s="91" t="s">
        <v>33</v>
      </c>
      <c r="D98" s="51"/>
      <c r="F98" s="36"/>
      <c r="G98" s="37"/>
      <c r="H98" s="37"/>
    </row>
    <row r="99" spans="1:8" ht="14.25" thickBot="1" x14ac:dyDescent="0.3">
      <c r="A99" s="50"/>
      <c r="B99" s="50"/>
      <c r="C99" s="154"/>
      <c r="D99" s="51"/>
      <c r="F99" s="36"/>
      <c r="G99" s="37"/>
      <c r="H99" s="37"/>
    </row>
    <row r="100" spans="1:8" ht="14.25" thickBot="1" x14ac:dyDescent="0.3">
      <c r="A100" s="12" t="s">
        <v>21</v>
      </c>
      <c r="B100" s="12">
        <f>SUM(B88:B99)</f>
        <v>0</v>
      </c>
      <c r="C100" s="93" t="s">
        <v>28</v>
      </c>
      <c r="D100" s="13"/>
    </row>
    <row r="101" spans="1:8" ht="15" thickBot="1" x14ac:dyDescent="0.35">
      <c r="A101" s="14"/>
      <c r="B101" s="14"/>
      <c r="C101" s="14"/>
      <c r="D101" s="14"/>
    </row>
    <row r="102" spans="1:8" ht="18.75" thickBot="1" x14ac:dyDescent="0.3">
      <c r="A102" s="6" t="s">
        <v>13</v>
      </c>
      <c r="B102" s="7">
        <v>7</v>
      </c>
      <c r="C102" s="17"/>
      <c r="D102" s="84"/>
    </row>
    <row r="103" spans="1:8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8" x14ac:dyDescent="0.25">
      <c r="A104" s="5"/>
      <c r="B104" s="4"/>
      <c r="C104" s="90" t="s">
        <v>30</v>
      </c>
      <c r="D104" s="9"/>
    </row>
    <row r="105" spans="1:8" x14ac:dyDescent="0.25">
      <c r="A105" s="1"/>
      <c r="B105" s="2"/>
      <c r="C105" s="10"/>
      <c r="D105" s="10"/>
    </row>
    <row r="106" spans="1:8" x14ac:dyDescent="0.25">
      <c r="A106" s="1"/>
      <c r="B106" s="2"/>
      <c r="C106" s="10"/>
      <c r="D106" s="10"/>
    </row>
    <row r="107" spans="1:8" ht="12.75" customHeight="1" x14ac:dyDescent="0.25">
      <c r="A107" s="1"/>
      <c r="B107" s="2"/>
      <c r="C107" s="91" t="s">
        <v>31</v>
      </c>
      <c r="D107" s="10"/>
      <c r="F107" s="31"/>
      <c r="G107" s="32"/>
      <c r="H107" s="33"/>
    </row>
    <row r="108" spans="1:8" ht="15" x14ac:dyDescent="0.25">
      <c r="A108" s="1"/>
      <c r="B108" s="2"/>
      <c r="C108" s="10"/>
      <c r="D108" s="10"/>
      <c r="F108" s="34"/>
      <c r="G108" s="30"/>
      <c r="H108" s="30"/>
    </row>
    <row r="109" spans="1:8" ht="15" x14ac:dyDescent="0.25">
      <c r="A109" s="1"/>
      <c r="B109" s="2"/>
      <c r="C109" s="10"/>
      <c r="D109" s="10"/>
      <c r="F109" s="34"/>
      <c r="G109" s="30"/>
      <c r="H109" s="30"/>
    </row>
    <row r="110" spans="1:8" x14ac:dyDescent="0.25">
      <c r="A110" s="1"/>
      <c r="B110" s="2"/>
      <c r="C110" s="10"/>
      <c r="D110" s="10"/>
      <c r="F110" s="36"/>
      <c r="G110" s="37"/>
      <c r="H110" s="37"/>
    </row>
    <row r="111" spans="1:8" x14ac:dyDescent="0.25">
      <c r="A111" s="2"/>
      <c r="B111" s="2"/>
      <c r="C111" s="91" t="s">
        <v>32</v>
      </c>
      <c r="D111" s="10"/>
      <c r="F111" s="36"/>
      <c r="G111" s="37"/>
      <c r="H111" s="37"/>
    </row>
    <row r="112" spans="1:8" x14ac:dyDescent="0.25">
      <c r="A112" s="2"/>
      <c r="B112" s="2"/>
      <c r="C112" s="10"/>
      <c r="D112" s="10"/>
      <c r="F112" s="36"/>
      <c r="G112" s="37"/>
      <c r="H112" s="37"/>
    </row>
    <row r="113" spans="1:8" x14ac:dyDescent="0.25">
      <c r="A113" s="2"/>
      <c r="B113" s="2"/>
      <c r="C113" s="10"/>
      <c r="D113" s="10"/>
      <c r="F113" s="36"/>
      <c r="G113" s="37"/>
      <c r="H113" s="37"/>
    </row>
    <row r="114" spans="1:8" x14ac:dyDescent="0.25">
      <c r="A114" s="50"/>
      <c r="B114" s="50"/>
      <c r="C114" s="91" t="s">
        <v>33</v>
      </c>
      <c r="D114" s="51"/>
      <c r="F114" s="36"/>
      <c r="G114" s="37"/>
      <c r="H114" s="37"/>
    </row>
    <row r="115" spans="1:8" ht="14.25" thickBot="1" x14ac:dyDescent="0.3">
      <c r="A115" s="50"/>
      <c r="B115" s="50"/>
      <c r="C115" s="154"/>
      <c r="D115" s="51"/>
      <c r="F115" s="36"/>
      <c r="G115" s="37"/>
      <c r="H115" s="37"/>
    </row>
    <row r="116" spans="1:8" ht="14.25" thickBot="1" x14ac:dyDescent="0.3">
      <c r="A116" s="12" t="s">
        <v>21</v>
      </c>
      <c r="B116" s="12">
        <f>SUM(B104:B115)</f>
        <v>0</v>
      </c>
      <c r="C116" s="93" t="s">
        <v>28</v>
      </c>
      <c r="D116" s="13"/>
    </row>
    <row r="117" spans="1:8" ht="15" thickBot="1" x14ac:dyDescent="0.35">
      <c r="A117" s="14"/>
      <c r="B117" s="14"/>
      <c r="C117" s="14"/>
      <c r="D117" s="14"/>
    </row>
    <row r="118" spans="1:8" ht="18.75" thickBot="1" x14ac:dyDescent="0.3">
      <c r="A118" s="6" t="s">
        <v>13</v>
      </c>
      <c r="B118" s="7">
        <v>8</v>
      </c>
      <c r="C118" s="17"/>
      <c r="D118" s="84"/>
    </row>
    <row r="119" spans="1:8" ht="27.75" thickBot="1" x14ac:dyDescent="0.3">
      <c r="A119" s="8" t="s">
        <v>2</v>
      </c>
      <c r="B119" s="18" t="s">
        <v>14</v>
      </c>
      <c r="C119" s="8" t="s">
        <v>6</v>
      </c>
      <c r="D119" s="8" t="s">
        <v>12</v>
      </c>
    </row>
    <row r="120" spans="1:8" x14ac:dyDescent="0.25">
      <c r="A120" s="5"/>
      <c r="B120" s="4"/>
      <c r="C120" s="90" t="s">
        <v>30</v>
      </c>
      <c r="D120" s="9"/>
    </row>
    <row r="121" spans="1:8" x14ac:dyDescent="0.25">
      <c r="A121" s="1"/>
      <c r="B121" s="2"/>
      <c r="C121" s="10"/>
      <c r="D121" s="10"/>
    </row>
    <row r="122" spans="1:8" x14ac:dyDescent="0.25">
      <c r="A122" s="1"/>
      <c r="B122" s="2"/>
      <c r="C122" s="10"/>
      <c r="D122" s="10"/>
    </row>
    <row r="123" spans="1:8" ht="12.75" customHeight="1" x14ac:dyDescent="0.25">
      <c r="A123" s="1"/>
      <c r="B123" s="2"/>
      <c r="C123" s="91" t="s">
        <v>31</v>
      </c>
      <c r="D123" s="10"/>
      <c r="F123" s="31"/>
      <c r="G123" s="32"/>
      <c r="H123" s="33"/>
    </row>
    <row r="124" spans="1:8" ht="15" x14ac:dyDescent="0.25">
      <c r="A124" s="1"/>
      <c r="B124" s="2"/>
      <c r="C124" s="10"/>
      <c r="D124" s="10"/>
      <c r="F124" s="34"/>
      <c r="G124" s="30"/>
      <c r="H124" s="30"/>
    </row>
    <row r="125" spans="1:8" ht="15" x14ac:dyDescent="0.25">
      <c r="A125" s="1"/>
      <c r="B125" s="2"/>
      <c r="C125" s="10"/>
      <c r="D125" s="10"/>
      <c r="F125" s="34"/>
      <c r="G125" s="30"/>
      <c r="H125" s="30"/>
    </row>
    <row r="126" spans="1:8" x14ac:dyDescent="0.25">
      <c r="A126" s="1"/>
      <c r="B126" s="2"/>
      <c r="C126" s="10"/>
      <c r="D126" s="10"/>
      <c r="F126" s="36"/>
      <c r="G126" s="37"/>
      <c r="H126" s="37"/>
    </row>
    <row r="127" spans="1:8" x14ac:dyDescent="0.25">
      <c r="A127" s="2"/>
      <c r="B127" s="2"/>
      <c r="C127" s="91" t="s">
        <v>32</v>
      </c>
      <c r="D127" s="10"/>
      <c r="F127" s="36"/>
      <c r="G127" s="37"/>
      <c r="H127" s="37"/>
    </row>
    <row r="128" spans="1:8" x14ac:dyDescent="0.25">
      <c r="A128" s="2"/>
      <c r="B128" s="2"/>
      <c r="C128" s="10"/>
      <c r="D128" s="10"/>
      <c r="F128" s="36"/>
      <c r="G128" s="37"/>
      <c r="H128" s="37"/>
    </row>
    <row r="129" spans="1:8" x14ac:dyDescent="0.25">
      <c r="A129" s="2"/>
      <c r="B129" s="2"/>
      <c r="C129" s="10"/>
      <c r="D129" s="10"/>
      <c r="F129" s="36"/>
      <c r="G129" s="37"/>
      <c r="H129" s="37"/>
    </row>
    <row r="130" spans="1:8" x14ac:dyDescent="0.25">
      <c r="A130" s="50"/>
      <c r="B130" s="50"/>
      <c r="C130" s="91" t="s">
        <v>33</v>
      </c>
      <c r="D130" s="51"/>
      <c r="F130" s="36"/>
      <c r="G130" s="37"/>
      <c r="H130" s="37"/>
    </row>
    <row r="131" spans="1:8" ht="14.25" thickBot="1" x14ac:dyDescent="0.3">
      <c r="A131" s="50"/>
      <c r="B131" s="50"/>
      <c r="C131" s="154"/>
      <c r="D131" s="51"/>
      <c r="F131" s="36"/>
      <c r="G131" s="37"/>
      <c r="H131" s="37"/>
    </row>
    <row r="132" spans="1:8" ht="14.25" thickBot="1" x14ac:dyDescent="0.3">
      <c r="A132" s="12" t="s">
        <v>21</v>
      </c>
      <c r="B132" s="12">
        <f>SUM(B120:B131)</f>
        <v>0</v>
      </c>
      <c r="C132" s="93" t="s">
        <v>28</v>
      </c>
      <c r="D132" s="13"/>
    </row>
    <row r="133" spans="1:8" ht="15" thickBot="1" x14ac:dyDescent="0.35">
      <c r="A133" s="14"/>
      <c r="B133" s="14"/>
      <c r="C133" s="14"/>
      <c r="D133" s="14"/>
    </row>
    <row r="134" spans="1:8" ht="18.75" thickBot="1" x14ac:dyDescent="0.3">
      <c r="A134" s="6" t="s">
        <v>13</v>
      </c>
      <c r="B134" s="7">
        <v>9</v>
      </c>
      <c r="C134" s="17"/>
      <c r="D134" s="84"/>
    </row>
    <row r="135" spans="1:8" ht="27.75" thickBot="1" x14ac:dyDescent="0.3">
      <c r="A135" s="8" t="s">
        <v>2</v>
      </c>
      <c r="B135" s="18" t="s">
        <v>14</v>
      </c>
      <c r="C135" s="8" t="s">
        <v>6</v>
      </c>
      <c r="D135" s="8" t="s">
        <v>12</v>
      </c>
    </row>
    <row r="136" spans="1:8" x14ac:dyDescent="0.25">
      <c r="A136" s="5"/>
      <c r="B136" s="4"/>
      <c r="C136" s="90" t="s">
        <v>30</v>
      </c>
      <c r="D136" s="9"/>
    </row>
    <row r="137" spans="1:8" x14ac:dyDescent="0.25">
      <c r="A137" s="1"/>
      <c r="B137" s="2"/>
      <c r="C137" s="10"/>
      <c r="D137" s="10"/>
    </row>
    <row r="138" spans="1:8" x14ac:dyDescent="0.25">
      <c r="A138" s="1"/>
      <c r="B138" s="2"/>
      <c r="C138" s="10"/>
      <c r="D138" s="10"/>
    </row>
    <row r="139" spans="1:8" ht="12.75" customHeight="1" x14ac:dyDescent="0.25">
      <c r="A139" s="1"/>
      <c r="B139" s="2"/>
      <c r="C139" s="91" t="s">
        <v>31</v>
      </c>
      <c r="D139" s="10"/>
      <c r="F139" s="31"/>
      <c r="G139" s="32"/>
      <c r="H139" s="33"/>
    </row>
    <row r="140" spans="1:8" ht="15" x14ac:dyDescent="0.25">
      <c r="A140" s="1"/>
      <c r="B140" s="2"/>
      <c r="C140" s="10"/>
      <c r="D140" s="10"/>
      <c r="F140" s="34"/>
      <c r="G140" s="30"/>
      <c r="H140" s="30"/>
    </row>
    <row r="141" spans="1:8" ht="15" x14ac:dyDescent="0.25">
      <c r="A141" s="1"/>
      <c r="B141" s="2"/>
      <c r="C141" s="10"/>
      <c r="D141" s="10"/>
      <c r="F141" s="34"/>
      <c r="G141" s="30"/>
      <c r="H141" s="30"/>
    </row>
    <row r="142" spans="1:8" x14ac:dyDescent="0.25">
      <c r="A142" s="1"/>
      <c r="B142" s="2"/>
      <c r="C142" s="10"/>
      <c r="D142" s="10"/>
      <c r="F142" s="36"/>
      <c r="G142" s="37"/>
      <c r="H142" s="37"/>
    </row>
    <row r="143" spans="1:8" x14ac:dyDescent="0.25">
      <c r="A143" s="2"/>
      <c r="B143" s="2"/>
      <c r="C143" s="91" t="s">
        <v>32</v>
      </c>
      <c r="D143" s="10"/>
      <c r="F143" s="36"/>
      <c r="G143" s="37"/>
      <c r="H143" s="37"/>
    </row>
    <row r="144" spans="1:8" x14ac:dyDescent="0.25">
      <c r="A144" s="2"/>
      <c r="B144" s="2"/>
      <c r="C144" s="10"/>
      <c r="D144" s="10"/>
      <c r="F144" s="36"/>
      <c r="G144" s="37"/>
      <c r="H144" s="37"/>
    </row>
    <row r="145" spans="1:8" x14ac:dyDescent="0.25">
      <c r="A145" s="2"/>
      <c r="B145" s="2"/>
      <c r="C145" s="10"/>
      <c r="D145" s="10"/>
      <c r="F145" s="36"/>
      <c r="G145" s="37"/>
      <c r="H145" s="37"/>
    </row>
    <row r="146" spans="1:8" x14ac:dyDescent="0.25">
      <c r="A146" s="50"/>
      <c r="B146" s="50"/>
      <c r="C146" s="91" t="s">
        <v>33</v>
      </c>
      <c r="D146" s="51"/>
      <c r="F146" s="36"/>
      <c r="G146" s="37"/>
      <c r="H146" s="37"/>
    </row>
    <row r="147" spans="1:8" ht="14.25" thickBot="1" x14ac:dyDescent="0.3">
      <c r="A147" s="50"/>
      <c r="B147" s="50"/>
      <c r="C147" s="154"/>
      <c r="D147" s="51"/>
      <c r="F147" s="36"/>
      <c r="G147" s="37"/>
      <c r="H147" s="37"/>
    </row>
    <row r="148" spans="1:8" ht="14.25" thickBot="1" x14ac:dyDescent="0.3">
      <c r="A148" s="12" t="s">
        <v>21</v>
      </c>
      <c r="B148" s="12">
        <f>SUM(B136:B147)</f>
        <v>0</v>
      </c>
      <c r="C148" s="93" t="s">
        <v>28</v>
      </c>
      <c r="D148" s="13"/>
    </row>
    <row r="149" spans="1:8" ht="14.25" x14ac:dyDescent="0.3">
      <c r="A149" s="14"/>
      <c r="B149" s="14"/>
      <c r="C149" s="14"/>
      <c r="D149" s="14"/>
    </row>
    <row r="150" spans="1:8" x14ac:dyDescent="0.25">
      <c r="A150" s="88" t="s">
        <v>29</v>
      </c>
    </row>
  </sheetData>
  <sheetProtection insertRows="0" selectLockedCells="1"/>
  <dataValidations count="4">
    <dataValidation type="list" allowBlank="1" showInputMessage="1" showErrorMessage="1" sqref="A136:A147 A33:A45 A50:A61 A72:A83 A88:A99 A104:A115 A120:A131 A3:A28 A66:A67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46 B62 B68 B84 B100 B116 B132 B148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2:F147 F39:F48 B33:B45 B50:B61 B72:B83 B88:B99 B104:B115 B120:B131 B136:B147 F56:F61 F78:F83 F94:F99 F110:F115 F126:F131 B3:B28 F67 B66:B67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M7" sqref="M7:N7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78">
        <v>44949</v>
      </c>
      <c r="D2" s="178"/>
      <c r="E2" s="178"/>
      <c r="F2" s="178"/>
      <c r="G2" s="178">
        <f>C2+7</f>
        <v>44956</v>
      </c>
      <c r="H2" s="178"/>
      <c r="I2" s="178"/>
      <c r="J2" s="178"/>
      <c r="K2" s="178">
        <f>G2+7</f>
        <v>44963</v>
      </c>
      <c r="L2" s="178"/>
      <c r="M2" s="178"/>
      <c r="N2" s="178"/>
      <c r="O2" s="178">
        <f>K2+7</f>
        <v>44970</v>
      </c>
      <c r="P2" s="178"/>
      <c r="Q2" s="178"/>
      <c r="R2" s="178"/>
      <c r="S2" s="178">
        <f>O2+7</f>
        <v>44977</v>
      </c>
      <c r="T2" s="178"/>
      <c r="U2" s="178"/>
      <c r="V2" s="178"/>
      <c r="W2" s="178">
        <f>S2+7</f>
        <v>44984</v>
      </c>
      <c r="X2" s="178"/>
      <c r="Y2" s="178"/>
      <c r="Z2" s="178"/>
      <c r="AA2" s="178">
        <f>W2+7</f>
        <v>44991</v>
      </c>
      <c r="AB2" s="178"/>
      <c r="AC2" s="178"/>
      <c r="AD2" s="178"/>
      <c r="AE2" s="178">
        <f>AA2+7</f>
        <v>44998</v>
      </c>
      <c r="AF2" s="178"/>
      <c r="AG2" s="178"/>
      <c r="AH2" s="178"/>
      <c r="AI2" s="178">
        <f>AE2+7</f>
        <v>45005</v>
      </c>
      <c r="AJ2" s="178"/>
      <c r="AK2" s="178"/>
      <c r="AL2" s="178"/>
    </row>
    <row r="3" spans="1:43" ht="14.25" thickBot="1" x14ac:dyDescent="0.3">
      <c r="C3" s="179" t="s">
        <v>62</v>
      </c>
      <c r="D3" s="179"/>
      <c r="E3" s="179"/>
      <c r="F3" s="179"/>
      <c r="G3" s="179" t="s">
        <v>63</v>
      </c>
      <c r="H3" s="179"/>
      <c r="I3" s="179"/>
      <c r="J3" s="179"/>
      <c r="K3" s="179" t="s">
        <v>64</v>
      </c>
      <c r="L3" s="179"/>
      <c r="M3" s="179"/>
      <c r="N3" s="179"/>
      <c r="O3" s="179" t="s">
        <v>65</v>
      </c>
      <c r="P3" s="179"/>
      <c r="Q3" s="179"/>
      <c r="R3" s="179"/>
      <c r="S3" s="179" t="s">
        <v>66</v>
      </c>
      <c r="T3" s="179"/>
      <c r="U3" s="179"/>
      <c r="V3" s="179"/>
      <c r="W3" s="179" t="s">
        <v>67</v>
      </c>
      <c r="X3" s="179"/>
      <c r="Y3" s="179"/>
      <c r="Z3" s="179"/>
      <c r="AA3" s="179" t="s">
        <v>68</v>
      </c>
      <c r="AB3" s="179"/>
      <c r="AC3" s="179"/>
      <c r="AD3" s="179"/>
      <c r="AE3" s="179" t="s">
        <v>69</v>
      </c>
      <c r="AF3" s="179"/>
      <c r="AG3" s="179"/>
      <c r="AH3" s="179"/>
      <c r="AI3" s="179" t="s">
        <v>70</v>
      </c>
      <c r="AJ3" s="179"/>
      <c r="AK3" s="179"/>
      <c r="AL3" s="179"/>
    </row>
    <row r="4" spans="1:43" ht="30" customHeight="1" x14ac:dyDescent="0.25">
      <c r="B4" s="5" t="s">
        <v>44</v>
      </c>
      <c r="C4" s="129"/>
      <c r="D4" s="130"/>
      <c r="E4" s="130"/>
      <c r="F4" s="131"/>
      <c r="G4" s="146"/>
      <c r="H4" s="147"/>
      <c r="I4" s="130"/>
      <c r="J4" s="131"/>
      <c r="K4" s="130"/>
      <c r="L4" s="130"/>
      <c r="M4" s="130"/>
      <c r="N4" s="131"/>
      <c r="O4" s="130"/>
      <c r="P4" s="130"/>
      <c r="Q4" s="130"/>
      <c r="R4" s="131"/>
      <c r="S4" s="130"/>
      <c r="T4" s="130"/>
      <c r="U4" s="130"/>
      <c r="V4" s="131"/>
      <c r="W4" s="130"/>
      <c r="X4" s="130"/>
      <c r="Y4" s="130"/>
      <c r="Z4" s="131"/>
      <c r="AA4" s="130"/>
      <c r="AB4" s="130"/>
      <c r="AC4" s="130"/>
      <c r="AD4" s="131"/>
      <c r="AE4" s="130"/>
      <c r="AF4" s="130"/>
      <c r="AG4" s="130"/>
      <c r="AH4" s="131"/>
      <c r="AI4" s="130"/>
      <c r="AJ4" s="130"/>
      <c r="AK4" s="130"/>
      <c r="AL4" s="131"/>
    </row>
    <row r="5" spans="1:43" ht="30" customHeight="1" x14ac:dyDescent="0.25">
      <c r="B5" s="1" t="s">
        <v>45</v>
      </c>
      <c r="C5" s="132"/>
      <c r="D5" s="144"/>
      <c r="E5" s="133"/>
      <c r="F5" s="134"/>
      <c r="G5" s="140"/>
      <c r="H5" s="133"/>
      <c r="I5" s="144"/>
      <c r="J5" s="145"/>
      <c r="K5" s="144"/>
      <c r="L5" s="133"/>
      <c r="M5" s="133"/>
      <c r="N5" s="134"/>
      <c r="O5" s="133"/>
      <c r="P5" s="133"/>
      <c r="Q5" s="133"/>
      <c r="R5" s="134"/>
      <c r="S5" s="133"/>
      <c r="T5" s="133"/>
      <c r="U5" s="133"/>
      <c r="V5" s="134"/>
      <c r="W5" s="133"/>
      <c r="X5" s="133"/>
      <c r="Y5" s="133"/>
      <c r="Z5" s="134"/>
      <c r="AA5" s="133"/>
      <c r="AB5" s="133"/>
      <c r="AC5" s="133"/>
      <c r="AD5" s="134"/>
      <c r="AE5" s="133"/>
      <c r="AF5" s="133"/>
      <c r="AG5" s="133"/>
      <c r="AH5" s="134"/>
      <c r="AI5" s="133"/>
      <c r="AJ5" s="133"/>
      <c r="AK5" s="133"/>
      <c r="AL5" s="134"/>
    </row>
    <row r="6" spans="1:43" ht="30" customHeight="1" x14ac:dyDescent="0.25">
      <c r="B6" s="1" t="s">
        <v>46</v>
      </c>
      <c r="C6" s="132"/>
      <c r="D6" s="133"/>
      <c r="E6" s="133"/>
      <c r="F6" s="134"/>
      <c r="G6" s="140"/>
      <c r="H6" s="133"/>
      <c r="I6" s="133"/>
      <c r="J6" s="134"/>
      <c r="K6" s="133"/>
      <c r="L6" s="144"/>
      <c r="M6" s="133"/>
      <c r="N6" s="134"/>
      <c r="O6" s="133"/>
      <c r="P6" s="133"/>
      <c r="Q6" s="133"/>
      <c r="R6" s="134"/>
      <c r="S6" s="133"/>
      <c r="T6" s="133"/>
      <c r="U6" s="133"/>
      <c r="V6" s="134"/>
      <c r="W6" s="133"/>
      <c r="X6" s="133"/>
      <c r="Y6" s="133"/>
      <c r="Z6" s="134"/>
      <c r="AA6" s="133"/>
      <c r="AB6" s="133"/>
      <c r="AC6" s="133"/>
      <c r="AD6" s="134"/>
      <c r="AE6" s="133"/>
      <c r="AF6" s="133"/>
      <c r="AG6" s="133"/>
      <c r="AH6" s="134"/>
      <c r="AI6" s="133"/>
      <c r="AJ6" s="133"/>
      <c r="AK6" s="133"/>
      <c r="AL6" s="134"/>
    </row>
    <row r="7" spans="1:43" ht="30" customHeight="1" x14ac:dyDescent="0.25">
      <c r="B7" s="1" t="s">
        <v>47</v>
      </c>
      <c r="C7" s="132"/>
      <c r="D7" s="133"/>
      <c r="E7" s="133"/>
      <c r="F7" s="134"/>
      <c r="G7" s="140"/>
      <c r="H7" s="133"/>
      <c r="I7" s="133"/>
      <c r="J7" s="134"/>
      <c r="K7" s="133"/>
      <c r="L7" s="133"/>
      <c r="M7" s="144"/>
      <c r="N7" s="145"/>
      <c r="O7" s="133"/>
      <c r="P7" s="133"/>
      <c r="Q7" s="133"/>
      <c r="R7" s="134"/>
      <c r="S7" s="144"/>
      <c r="T7" s="144"/>
      <c r="U7" s="148"/>
      <c r="V7" s="134"/>
      <c r="W7" s="144"/>
      <c r="X7" s="144"/>
      <c r="Y7" s="148"/>
      <c r="Z7" s="149"/>
      <c r="AA7" s="144"/>
      <c r="AB7" s="144"/>
      <c r="AC7" s="148"/>
      <c r="AD7" s="149"/>
      <c r="AE7" s="133"/>
      <c r="AF7" s="133"/>
      <c r="AG7" s="133"/>
      <c r="AH7" s="134"/>
      <c r="AI7" s="133"/>
      <c r="AJ7" s="133"/>
      <c r="AK7" s="133"/>
      <c r="AL7" s="134"/>
      <c r="AN7" s="152"/>
      <c r="AO7" s="177" t="s">
        <v>72</v>
      </c>
      <c r="AP7" s="177"/>
      <c r="AQ7" s="177"/>
    </row>
    <row r="8" spans="1:43" ht="30" customHeight="1" x14ac:dyDescent="0.25">
      <c r="B8" s="1" t="s">
        <v>48</v>
      </c>
      <c r="C8" s="135"/>
      <c r="D8" s="133"/>
      <c r="E8" s="144"/>
      <c r="F8" s="145"/>
      <c r="G8" s="140"/>
      <c r="H8" s="133"/>
      <c r="I8" s="133"/>
      <c r="J8" s="134"/>
      <c r="K8" s="133"/>
      <c r="L8" s="133"/>
      <c r="M8" s="133"/>
      <c r="N8" s="134"/>
      <c r="O8" s="133"/>
      <c r="P8" s="133"/>
      <c r="Q8" s="133"/>
      <c r="R8" s="134"/>
      <c r="S8" s="133"/>
      <c r="T8" s="133"/>
      <c r="U8" s="144"/>
      <c r="V8" s="149"/>
      <c r="W8" s="133"/>
      <c r="X8" s="133"/>
      <c r="Y8" s="144"/>
      <c r="Z8" s="149"/>
      <c r="AA8" s="133"/>
      <c r="AB8" s="133"/>
      <c r="AC8" s="144"/>
      <c r="AD8" s="149"/>
      <c r="AE8" s="144"/>
      <c r="AF8" s="144"/>
      <c r="AG8" s="133"/>
      <c r="AH8" s="134"/>
      <c r="AI8" s="133"/>
      <c r="AJ8" s="133"/>
      <c r="AK8" s="133"/>
      <c r="AL8" s="134"/>
      <c r="AN8" s="153"/>
      <c r="AO8" s="177" t="s">
        <v>34</v>
      </c>
      <c r="AP8" s="177"/>
      <c r="AQ8" s="177"/>
    </row>
    <row r="9" spans="1:43" ht="30" customHeight="1" x14ac:dyDescent="0.25">
      <c r="B9" s="1" t="s">
        <v>49</v>
      </c>
      <c r="C9" s="132"/>
      <c r="D9" s="133"/>
      <c r="E9" s="133"/>
      <c r="F9" s="134"/>
      <c r="G9" s="140"/>
      <c r="H9" s="133"/>
      <c r="I9" s="133"/>
      <c r="J9" s="134"/>
      <c r="K9" s="133"/>
      <c r="L9" s="133"/>
      <c r="M9" s="133"/>
      <c r="N9" s="134"/>
      <c r="O9" s="133"/>
      <c r="P9" s="133"/>
      <c r="Q9" s="133"/>
      <c r="R9" s="134"/>
      <c r="S9" s="133"/>
      <c r="T9" s="133"/>
      <c r="U9" s="133"/>
      <c r="V9" s="145"/>
      <c r="W9" s="133"/>
      <c r="X9" s="133"/>
      <c r="Y9" s="133"/>
      <c r="Z9" s="134"/>
      <c r="AA9" s="133"/>
      <c r="AB9" s="133"/>
      <c r="AC9" s="133"/>
      <c r="AD9" s="134"/>
      <c r="AE9" s="133"/>
      <c r="AF9" s="133"/>
      <c r="AG9" s="148"/>
      <c r="AH9" s="145"/>
      <c r="AI9" s="133"/>
      <c r="AJ9" s="133"/>
      <c r="AK9" s="133"/>
      <c r="AL9" s="134"/>
    </row>
    <row r="10" spans="1:43" ht="30" customHeight="1" x14ac:dyDescent="0.25">
      <c r="B10" s="50" t="s">
        <v>71</v>
      </c>
      <c r="C10" s="136"/>
      <c r="D10" s="148"/>
      <c r="E10" s="133"/>
      <c r="F10" s="134"/>
      <c r="G10" s="140"/>
      <c r="H10" s="133"/>
      <c r="I10" s="133"/>
      <c r="J10" s="134"/>
      <c r="K10" s="133"/>
      <c r="L10" s="133"/>
      <c r="M10" s="133"/>
      <c r="N10" s="134"/>
      <c r="O10" s="133"/>
      <c r="P10" s="133"/>
      <c r="Q10" s="133"/>
      <c r="R10" s="134"/>
      <c r="S10" s="133"/>
      <c r="T10" s="133"/>
      <c r="U10" s="133"/>
      <c r="V10" s="134"/>
      <c r="W10" s="133"/>
      <c r="X10" s="133"/>
      <c r="Y10" s="133"/>
      <c r="Z10" s="145"/>
      <c r="AA10" s="133"/>
      <c r="AB10" s="133"/>
      <c r="AC10" s="133"/>
      <c r="AD10" s="145"/>
      <c r="AE10" s="133"/>
      <c r="AF10" s="133"/>
      <c r="AG10" s="144"/>
      <c r="AH10" s="134"/>
      <c r="AI10" s="133"/>
      <c r="AJ10" s="133"/>
      <c r="AK10" s="133"/>
      <c r="AL10" s="134"/>
    </row>
    <row r="11" spans="1:43" ht="30" customHeight="1" x14ac:dyDescent="0.25">
      <c r="B11" s="128" t="s">
        <v>50</v>
      </c>
      <c r="C11" s="143"/>
      <c r="D11" s="133"/>
      <c r="E11" s="133"/>
      <c r="F11" s="134"/>
      <c r="G11" s="140"/>
      <c r="H11" s="133"/>
      <c r="I11" s="133"/>
      <c r="J11" s="134"/>
      <c r="K11" s="133"/>
      <c r="L11" s="133"/>
      <c r="M11" s="133"/>
      <c r="N11" s="134"/>
      <c r="O11" s="133"/>
      <c r="P11" s="133"/>
      <c r="Q11" s="133"/>
      <c r="R11" s="134"/>
      <c r="S11" s="133"/>
      <c r="T11" s="133"/>
      <c r="U11" s="133"/>
      <c r="V11" s="134"/>
      <c r="W11" s="133"/>
      <c r="X11" s="133"/>
      <c r="Y11" s="133"/>
      <c r="Z11" s="134"/>
      <c r="AA11" s="133"/>
      <c r="AB11" s="133"/>
      <c r="AC11" s="133"/>
      <c r="AD11" s="134"/>
      <c r="AE11" s="133"/>
      <c r="AF11" s="133"/>
      <c r="AG11" s="133"/>
      <c r="AH11" s="134"/>
      <c r="AI11" s="144"/>
      <c r="AJ11" s="144"/>
      <c r="AK11" s="144"/>
      <c r="AL11" s="145"/>
    </row>
    <row r="12" spans="1:43" ht="30" customHeight="1" thickBot="1" x14ac:dyDescent="0.3">
      <c r="B12" s="127" t="s">
        <v>34</v>
      </c>
      <c r="C12" s="137"/>
      <c r="D12" s="138"/>
      <c r="E12" s="138"/>
      <c r="F12" s="142"/>
      <c r="G12" s="141"/>
      <c r="H12" s="138"/>
      <c r="I12" s="138"/>
      <c r="J12" s="142"/>
      <c r="K12" s="138"/>
      <c r="L12" s="138"/>
      <c r="M12" s="138"/>
      <c r="N12" s="142"/>
      <c r="O12" s="150"/>
      <c r="P12" s="150"/>
      <c r="Q12" s="150"/>
      <c r="R12" s="151"/>
      <c r="S12" s="138"/>
      <c r="T12" s="138"/>
      <c r="U12" s="138"/>
      <c r="V12" s="142"/>
      <c r="W12" s="138"/>
      <c r="X12" s="138"/>
      <c r="Y12" s="138"/>
      <c r="Z12" s="142"/>
      <c r="AA12" s="138"/>
      <c r="AB12" s="138"/>
      <c r="AC12" s="138"/>
      <c r="AD12" s="142"/>
      <c r="AE12" s="138"/>
      <c r="AF12" s="138"/>
      <c r="AG12" s="138"/>
      <c r="AH12" s="142"/>
      <c r="AI12" s="138"/>
      <c r="AJ12" s="138"/>
      <c r="AK12" s="138"/>
      <c r="AL12" s="139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2013-08-29T11:33:15Z</cp:lastPrinted>
  <dcterms:created xsi:type="dcterms:W3CDTF">1996-10-21T11:03:58Z</dcterms:created>
  <dcterms:modified xsi:type="dcterms:W3CDTF">2023-01-25T09:07:45Z</dcterms:modified>
</cp:coreProperties>
</file>