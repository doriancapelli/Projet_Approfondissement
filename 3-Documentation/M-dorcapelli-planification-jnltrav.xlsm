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BF431C2B-2C86-47CA-AB8B-312C4CF63B59}" xr6:coauthVersionLast="45" xr6:coauthVersionMax="45" xr10:uidLastSave="{00000000-0000-0000-0000-000000000000}"/>
  <bookViews>
    <workbookView xWindow="28680" yWindow="-120" windowWidth="29040" windowHeight="15840" activeTab="1" xr2:uid="{00000000-000D-0000-FFFF-FFFF00000000}"/>
  </bookViews>
  <sheets>
    <sheet name="Donnees" sheetId="7" r:id="rId1"/>
    <sheet name="Diagramme" sheetId="165" r:id="rId2"/>
    <sheet name="Feuil1" sheetId="166" r:id="rId3"/>
    <sheet name="DiagramHeader" sheetId="10" state="hidden" r:id="rId4"/>
    <sheet name="DiagramFooter" sheetId="130" state="hidden" r:id="rId5"/>
    <sheet name="PlanificationWeek" sheetId="11" state="hidden" r:id="rId6"/>
    <sheet name="achievementWeek" sheetId="154" state="hidden" r:id="rId7"/>
    <sheet name="JNLTRAV" sheetId="156" r:id="rId8"/>
    <sheet name="Planning" sheetId="157" r:id="rId9"/>
    <sheet name="Planning Initial" sheetId="159" r:id="rId10"/>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8">Planning!$A$1:$D$25</definedName>
    <definedName name="objPlanifWeek">PlanificationWeek!$A$1:$D$14</definedName>
    <definedName name="objRealizedWeek" localSheetId="6">achievementWeek!$A$1:$D$19</definedName>
    <definedName name="objRealizedWeek" localSheetId="7">JNLTRAV!$A$1:$D$37</definedName>
    <definedName name="_xlnm.Print_Area" localSheetId="0">Donnees!$A$1:$G$47</definedName>
    <definedName name="_xlnm.Print_Area" localSheetId="7">JNLTRAV!$A$1:$H$198</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9" i="166" l="1"/>
  <c r="C19" i="166"/>
  <c r="D29" i="166" l="1"/>
  <c r="D14" i="166" s="1"/>
  <c r="D28" i="166"/>
  <c r="D13" i="166" s="1"/>
  <c r="C28" i="166"/>
  <c r="C13" i="166" s="1"/>
  <c r="D27" i="166"/>
  <c r="D26" i="166"/>
  <c r="D11" i="166" s="1"/>
  <c r="D25" i="166"/>
  <c r="D10" i="166" s="1"/>
  <c r="D24" i="166"/>
  <c r="D9" i="166" s="1"/>
  <c r="D23" i="166"/>
  <c r="D8" i="166" s="1"/>
  <c r="D22" i="166"/>
  <c r="D7" i="166" s="1"/>
  <c r="C22" i="166"/>
  <c r="C7" i="166" s="1"/>
  <c r="D21" i="166"/>
  <c r="D6" i="166" s="1"/>
  <c r="D20" i="166"/>
  <c r="D5" i="166" s="1"/>
  <c r="D4" i="166"/>
  <c r="C29" i="166"/>
  <c r="C14" i="166" s="1"/>
  <c r="C27" i="166"/>
  <c r="C12" i="166" s="1"/>
  <c r="C26" i="166"/>
  <c r="C11" i="166" s="1"/>
  <c r="C25" i="166"/>
  <c r="C10" i="166" s="1"/>
  <c r="C24" i="166"/>
  <c r="C9" i="166" s="1"/>
  <c r="C23" i="166"/>
  <c r="C8" i="166" s="1"/>
  <c r="C21" i="166"/>
  <c r="C6" i="166" s="1"/>
  <c r="C20" i="166"/>
  <c r="C5" i="166" s="1"/>
  <c r="C4" i="166"/>
  <c r="D12" i="166"/>
  <c r="C41" i="165"/>
  <c r="F31" i="166" l="1"/>
  <c r="AAV41" i="165"/>
  <c r="XJ41" i="165"/>
  <c r="TX41" i="165"/>
  <c r="QL41" i="165"/>
  <c r="MZ41" i="165"/>
  <c r="GB41" i="165"/>
  <c r="CP41" i="165"/>
  <c r="D41" i="165"/>
  <c r="B182" i="157" l="1"/>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B24" i="157"/>
  <c r="B36" i="156"/>
  <c r="D42" i="165" l="1"/>
  <c r="AAV42" i="165"/>
  <c r="TX42" i="165"/>
  <c r="QL42" i="165"/>
  <c r="MZ42" i="165"/>
  <c r="GB42" i="165"/>
  <c r="XJ42" i="165"/>
  <c r="CP42" i="165"/>
  <c r="B79" i="157"/>
  <c r="AE2" i="159"/>
  <c r="G2" i="159"/>
  <c r="K2" i="159"/>
  <c r="O2" i="159" s="1"/>
  <c r="S2" i="159" s="1"/>
  <c r="W2" i="159" s="1"/>
  <c r="AA2" i="159" s="1"/>
  <c r="AI2" i="159" s="1"/>
  <c r="B103" i="156" l="1"/>
  <c r="D1" i="156"/>
  <c r="D38" i="156" s="1"/>
  <c r="D72" i="156" s="1"/>
  <c r="D100" i="156" s="1"/>
  <c r="D105" i="156" s="1"/>
  <c r="D126" i="156" s="1"/>
  <c r="D150" i="156" s="1"/>
  <c r="D167" i="156" s="1"/>
  <c r="D194" i="156" s="1"/>
  <c r="B197" i="156"/>
  <c r="B192" i="156"/>
  <c r="B165" i="156"/>
  <c r="B148" i="156"/>
  <c r="B124" i="156"/>
  <c r="B98" i="156"/>
  <c r="B70" i="156"/>
  <c r="C12" i="7" l="1"/>
  <c r="B18" i="154" l="1"/>
  <c r="B13" i="11" l="1"/>
</calcChain>
</file>

<file path=xl/sharedStrings.xml><?xml version="1.0" encoding="utf-8"?>
<sst xmlns="http://schemas.openxmlformats.org/spreadsheetml/2006/main" count="839" uniqueCount="202">
  <si>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</si>
  <si>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</si>
  <si>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</si>
  <si>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</si>
  <si>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</si>
  <si>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</si>
  <si>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</si>
  <si>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</si>
  <si>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</si>
  <si>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</si>
  <si>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</si>
  <si>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</si>
  <si>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</si>
  <si>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</si>
  <si>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</si>
  <si>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</si>
  <si>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</si>
  <si>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</si>
  <si>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</si>
  <si>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</si>
  <si>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</si>
  <si>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</si>
  <si>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</si>
  <si>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</si>
  <si>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</si>
  <si>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</si>
  <si>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</si>
  <si>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</si>
  <si>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</si>
  <si>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</si>
  <si>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</si>
  <si>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</si>
  <si>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</si>
  <si>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</si>
  <si>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</si>
  <si>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</si>
  <si>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</si>
  <si>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</si>
  <si>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</si>
  <si>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</si>
  <si>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</si>
  <si>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</si>
  <si>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</si>
  <si>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</si>
  <si>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</si>
  <si>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</si>
  <si>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</si>
  <si>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</si>
  <si>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</si>
  <si>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</si>
  <si>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</si>
  <si>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</si>
  <si>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</si>
  <si>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</si>
  <si>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</si>
  <si>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</si>
  <si>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</si>
  <si>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</si>
  <si>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</si>
  <si>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</si>
  <si>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</si>
  <si>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</si>
  <si>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</si>
  <si>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</si>
  <si>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</si>
  <si>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</si>
  <si>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</si>
  <si>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</si>
  <si>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</si>
  <si>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</si>
  <si>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</si>
  <si>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</si>
  <si>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</si>
  <si>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</si>
  <si>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</si>
  <si>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</si>
  <si>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</si>
  <si>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</si>
  <si>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</si>
  <si>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</si>
  <si>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</si>
  <si>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</si>
  <si>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</si>
  <si>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</si>
  <si>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</si>
  <si>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</si>
  <si>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</si>
  <si>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</si>
  <si>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</si>
  <si>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</si>
  <si>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</si>
  <si>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</si>
  <si>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</si>
  <si>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</si>
  <si>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</si>
  <si>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</si>
  <si>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</si>
  <si>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</si>
  <si>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</si>
  <si>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</si>
  <si>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</si>
  <si>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</si>
  <si>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</si>
  <si>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</si>
  <si>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</si>
  <si>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</si>
  <si>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</si>
  <si>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</si>
  <si>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</si>
  <si>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</si>
  <si>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</si>
  <si>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</si>
  <si>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</si>
  <si>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</si>
  <si>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</si>
  <si>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</si>
  <si>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</si>
  <si>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</si>
  <si>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</si>
  <si>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</si>
  <si>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</si>
  <si>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</si>
  <si>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</si>
  <si>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</si>
  <si>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</si>
  <si>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</si>
  <si>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</si>
  <si>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</si>
  <si>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</si>
  <si>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</si>
  <si>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</si>
  <si>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</si>
  <si>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</si>
  <si>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</si>
  <si>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Réalisation de l'interface de la page de la liste des membres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</si>
  <si>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</si>
  <si>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</si>
  <si>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</si>
  <si>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</si>
  <si>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</si>
  <si>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</si>
  <si>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</si>
  <si>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</si>
  <si>
    <t>Création de la page de Détail / Modification et création des membres</t>
  </si>
  <si>
    <t>https://www.geeksforgeeks.org/how-to-generate-pdf-file-using-php/</t>
  </si>
  <si>
    <t xml:space="preserve">https://startbootstrap.com/template/sb-admin
</t>
  </si>
  <si>
    <t>Création de la fonctionnalité de trie d'ordonnement des membres selon un critère</t>
  </si>
  <si>
    <t>Recherche et tentative de mettre en place l'export en PDF de la liste des membres</t>
  </si>
  <si>
    <t>Recommencement de l'interface web pour toutes les pages</t>
  </si>
  <si>
    <t>Mise en place des formulaires de modification et de création de membre (manque plus que la vérification des données entrées)</t>
  </si>
  <si>
    <t>https://www.geeksforgeeks.org/html-input-required-attribute/
https://developer.mozilla.org/en-US/docs/Web/HTML/Element/input/number
https://ihateregex.io/expr/username
ChatGPT</t>
  </si>
  <si>
    <t>Explication des points évaluer au TPI</t>
  </si>
  <si>
    <t>https://developer.mozilla.org/fr/docs/Web/CSS/CSS_Grid_Layout
https://www.w3schools.com/css/tryit.asp?filename=trycss_grid_grid-gap</t>
  </si>
  <si>
    <t>Mise en place de la recherche multicritère avec l'aide M. Philipona</t>
  </si>
  <si>
    <t>Finition de l'implémentation des opérations CRUD avec vérification de donnée à l'entrée et avant les requetes SQL (optimisation du code grâce à l'aide M. Philipona)</t>
  </si>
  <si>
    <t>http://www.fpdf.org/en/script/script92.php
https://github.com/Setasign/tFPDF
https://stackoverflow.com/questions/63119312/tfpdf-utf-8-in-php
http://www.fpdf.org/en/tutorial/tuto5.htm
https://www.freecodecamp.org/news/how-to-use-html-to-open-link-in-new-tab/</t>
  </si>
  <si>
    <t>Ajout d'un message de vérification de vouloir effacer le membre sélectionner</t>
  </si>
  <si>
    <t>Correction d'un bug d'encodage et finition de la mise ne place de la fonctionnalité avec l'aide de M. Philipona</t>
  </si>
  <si>
    <t>Aide M. Tauxe sur son projet</t>
  </si>
  <si>
    <t>information sur les points évalué du TPI</t>
  </si>
  <si>
    <t>Discution avec M. Charmier et validation de M. Charmier des 7 points évalués</t>
  </si>
  <si>
    <t xml:space="preserve">Correction d'un bug de script en javascript </t>
  </si>
  <si>
    <t>Préparation TPI</t>
  </si>
  <si>
    <t xml:space="preserve">https://sql.sh/cours/jointures/left-join </t>
  </si>
  <si>
    <t>Discution avec M.Charmier sur le rapport et le second projetd'écologie</t>
  </si>
  <si>
    <t>Réalisation d'un graphique en chart.js pour le projet d'écologie (les données du tableau ont été traité en mêm temps)</t>
  </si>
  <si>
    <t>Recherche d'artcile pour un mini-rapport de l'impact des emballages alimentaires dans le monde et en suisse</t>
  </si>
  <si>
    <t>Révision pour une test de physique</t>
  </si>
  <si>
    <t>Discution avec chef de proket de TPI sur le TPI en général et Sujet de TPI</t>
  </si>
  <si>
    <t>discution sur leTPI avec M.Mweng</t>
  </si>
  <si>
    <t>Semaine predu du à l'emploi du temps ETML</t>
  </si>
  <si>
    <t>https://icones8.fr/
https://www.w3schools.com/html/html_images.asp
https://stackoverflow.com/questions/8169027/how-can-i-submit-a-post-form-using-the-a-href-tag</t>
  </si>
  <si>
    <t xml:space="preserve">
</t>
  </si>
  <si>
    <t>https://startbootstrap.com/template/sb-admin</t>
  </si>
  <si>
    <t>Présentation</t>
  </si>
  <si>
    <t>Discution avec M. Charmier</t>
  </si>
  <si>
    <t>Aide à M. Praz et M. Bolli sur leur rapport</t>
  </si>
  <si>
    <t>Discution avec M. Mweng sur les présentations</t>
  </si>
  <si>
    <t>Aide à M. Tauxe dans son projet</t>
  </si>
  <si>
    <t>Révision d'un test d'économie</t>
  </si>
  <si>
    <t>Maladie</t>
  </si>
  <si>
    <t>Aide sur le rapport à M. Bolli et M. Praz</t>
  </si>
  <si>
    <t>Aide sur le rapport à M. Philipona</t>
  </si>
  <si>
    <t xml:space="preserve">Répondre à 3 questionnaires sous la demande de M. Charmier </t>
  </si>
  <si>
    <t>Avancée sur le TPA</t>
  </si>
  <si>
    <t>Heures</t>
  </si>
  <si>
    <t>Finalisation de la présentation</t>
  </si>
  <si>
    <t>Préparation au TPI</t>
  </si>
  <si>
    <t>Discution sur l'ordre des présentations</t>
  </si>
  <si>
    <t xml:space="preserve">REALISER </t>
  </si>
  <si>
    <t>INFORMER</t>
  </si>
  <si>
    <t>PLANIFIER</t>
  </si>
  <si>
    <t>DECIDER</t>
  </si>
  <si>
    <t>TESTER</t>
  </si>
  <si>
    <t>EVALUER</t>
  </si>
  <si>
    <t>Rapport</t>
  </si>
  <si>
    <t xml:space="preserve"> JNLTRAV</t>
  </si>
  <si>
    <t>JNLTRAV</t>
  </si>
  <si>
    <t>Planification</t>
  </si>
  <si>
    <t>Tournage de la vidéo pour m. Charmier avec son aide</t>
  </si>
  <si>
    <t>Scéance de classe</t>
  </si>
  <si>
    <t>Finalisation du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</si>
</sst>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1"/>
        <bgColor indexed="64"/>
      </patternFill>
    </fill>
    <fill>
      <patternFill patternType="solid">
        <fgColor indexed="12"/>
        <bgColor indexed="64"/>
      </patternFill>
    </fill>
  </fills>
  <borders count="7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style="medium">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style="hair">
        <color indexed="64"/>
      </top>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32">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37" xfId="0" applyFill="1" applyBorder="1" applyProtection="1"/>
    <xf numFmtId="0" fontId="0" fillId="18" borderId="38" xfId="0" applyFill="1" applyBorder="1" applyProtection="1"/>
    <xf numFmtId="0" fontId="0" fillId="18" borderId="39" xfId="0" applyFill="1" applyBorder="1" applyProtection="1"/>
    <xf numFmtId="0" fontId="0" fillId="18"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0" fillId="0" borderId="34" xfId="0" applyFont="1" applyBorder="1" applyAlignment="1" applyProtection="1">
      <alignment vertical="center" wrapText="1"/>
      <protection locked="0"/>
    </xf>
    <xf numFmtId="0" fontId="1" fillId="0" borderId="0" xfId="1" applyAlignment="1" applyProtection="1">
      <alignment wrapText="1"/>
    </xf>
    <xf numFmtId="0" fontId="1" fillId="0" borderId="34" xfId="1" applyBorder="1" applyAlignment="1" applyProtection="1">
      <alignment horizontal="left" vertical="top" wrapText="1"/>
      <protection locked="0"/>
    </xf>
    <xf numFmtId="0" fontId="0" fillId="9" borderId="0" xfId="0" applyFont="1" applyFill="1"/>
    <xf numFmtId="0" fontId="0" fillId="0" borderId="2" xfId="0" applyFont="1" applyBorder="1" applyAlignment="1" applyProtection="1">
      <alignment horizontal="left" vertical="top" wrapText="1"/>
      <protection locked="0"/>
    </xf>
    <xf numFmtId="0" fontId="1" fillId="0" borderId="0" xfId="1" applyAlignment="1" applyProtection="1"/>
    <xf numFmtId="0" fontId="0" fillId="0" borderId="3" xfId="0" applyFont="1" applyBorder="1" applyAlignment="1" applyProtection="1">
      <alignment vertical="center" wrapText="1"/>
      <protection locked="0"/>
    </xf>
    <xf numFmtId="0" fontId="9" fillId="0" borderId="34" xfId="0" applyFont="1" applyBorder="1" applyAlignment="1" applyProtection="1">
      <alignment vertical="center" wrapText="1"/>
      <protection locked="0"/>
    </xf>
    <xf numFmtId="0" fontId="0" fillId="0" borderId="1" xfId="0" applyFont="1" applyBorder="1" applyAlignment="1" applyProtection="1">
      <alignment vertical="center" wrapText="1"/>
      <protection locked="0"/>
    </xf>
    <xf numFmtId="0" fontId="0" fillId="19" borderId="42" xfId="0" applyFill="1" applyBorder="1" applyProtection="1"/>
    <xf numFmtId="0" fontId="0" fillId="19" borderId="43" xfId="0" applyFill="1" applyBorder="1" applyProtection="1"/>
    <xf numFmtId="0" fontId="0" fillId="19" borderId="44" xfId="0" applyFill="1" applyBorder="1" applyProtection="1"/>
    <xf numFmtId="0" fontId="0" fillId="19" borderId="45" xfId="0" applyFill="1" applyBorder="1" applyProtection="1"/>
    <xf numFmtId="0" fontId="0" fillId="19" borderId="46" xfId="0" applyFill="1" applyBorder="1" applyProtection="1"/>
    <xf numFmtId="0" fontId="0" fillId="9" borderId="66" xfId="0" applyFill="1" applyBorder="1" applyProtection="1"/>
    <xf numFmtId="0" fontId="0" fillId="9" borderId="67" xfId="0" applyFill="1" applyBorder="1" applyProtection="1"/>
    <xf numFmtId="0" fontId="0" fillId="9" borderId="68" xfId="0" applyFill="1" applyBorder="1" applyProtection="1"/>
    <xf numFmtId="0" fontId="0" fillId="9" borderId="69" xfId="0" applyFill="1" applyBorder="1" applyProtection="1"/>
    <xf numFmtId="0" fontId="3" fillId="10" borderId="71" xfId="0" applyNumberFormat="1" applyFont="1" applyFill="1" applyBorder="1" applyAlignment="1" applyProtection="1"/>
    <xf numFmtId="0" fontId="3" fillId="10" borderId="65" xfId="0" applyNumberFormat="1" applyFont="1" applyFill="1" applyBorder="1" applyAlignment="1" applyProtection="1"/>
    <xf numFmtId="1" fontId="0" fillId="0" borderId="0" xfId="0" applyNumberFormat="1"/>
    <xf numFmtId="10" fontId="0" fillId="0" borderId="0" xfId="0" applyNumberFormat="1"/>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3" fillId="10" borderId="64" xfId="0" applyNumberFormat="1" applyFont="1" applyFill="1" applyBorder="1" applyAlignment="1" applyProtection="1">
      <alignment horizontal="center"/>
    </xf>
    <xf numFmtId="0" fontId="3" fillId="10" borderId="65" xfId="0" applyNumberFormat="1" applyFont="1" applyFill="1" applyBorder="1" applyAlignment="1" applyProtection="1">
      <alignment horizontal="center"/>
    </xf>
    <xf numFmtId="0" fontId="3" fillId="10" borderId="70" xfId="0" applyNumberFormat="1" applyFont="1" applyFill="1" applyBorder="1" applyAlignment="1" applyProtection="1">
      <alignment horizontal="center"/>
    </xf>
    <xf numFmtId="0" fontId="3" fillId="10" borderId="71" xfId="0" applyNumberFormat="1" applyFont="1" applyFill="1" applyBorder="1" applyAlignment="1" applyProtection="1">
      <alignment horizont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Border="1" applyAlignment="1">
      <alignment horizontal="center" vertical="center"/>
    </xf>
    <xf numFmtId="14" fontId="9" fillId="0" borderId="0" xfId="0" applyNumberFormat="1" applyFont="1" applyAlignment="1">
      <alignment horizontal="center" vertical="center"/>
    </xf>
    <xf numFmtId="0" fontId="0" fillId="0" borderId="0" xfId="0" applyAlignment="1">
      <alignment horizontal="center" vertic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H"/>
              <a:t>Comparaison de la planification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Feuil1!$C$3</c:f>
              <c:strCache>
                <c:ptCount val="1"/>
                <c:pt idx="0">
                  <c:v>Planification</c:v>
                </c:pt>
              </c:strCache>
            </c:strRef>
          </c:tx>
          <c:spPr>
            <a:solidFill>
              <a:schemeClr val="accent6"/>
            </a:solidFill>
            <a:ln>
              <a:noFill/>
            </a:ln>
            <a:effectLst/>
          </c:spPr>
          <c:invertIfNegative val="0"/>
          <c:cat>
            <c:strRef>
              <c:f>Feuil1!$B$4:$B$14</c:f>
              <c:strCache>
                <c:ptCount val="11"/>
                <c:pt idx="0">
                  <c:v>Absence - Imprévus</c:v>
                </c:pt>
                <c:pt idx="1">
                  <c:v> JNLTRAV</c:v>
                </c:pt>
                <c:pt idx="2">
                  <c:v>Rapport</c:v>
                </c:pt>
                <c:pt idx="3">
                  <c:v>Présentation</c:v>
                </c:pt>
                <c:pt idx="4">
                  <c:v>INFORMER</c:v>
                </c:pt>
                <c:pt idx="5">
                  <c:v>PLANIFIER</c:v>
                </c:pt>
                <c:pt idx="6">
                  <c:v>DECIDER</c:v>
                </c:pt>
                <c:pt idx="7">
                  <c:v>REALISER </c:v>
                </c:pt>
                <c:pt idx="8">
                  <c:v>TESTER</c:v>
                </c:pt>
                <c:pt idx="9">
                  <c:v>EVALUER</c:v>
                </c:pt>
                <c:pt idx="10">
                  <c:v>Autre</c:v>
                </c:pt>
              </c:strCache>
            </c:strRef>
          </c:cat>
          <c:val>
            <c:numRef>
              <c:f>Feuil1!$C$4:$C$14</c:f>
              <c:numCache>
                <c:formatCode>General</c:formatCode>
                <c:ptCount val="11"/>
                <c:pt idx="0">
                  <c:v>3.5</c:v>
                </c:pt>
                <c:pt idx="1">
                  <c:v>14.75</c:v>
                </c:pt>
                <c:pt idx="2">
                  <c:v>22.75</c:v>
                </c:pt>
                <c:pt idx="3">
                  <c:v>4.5</c:v>
                </c:pt>
                <c:pt idx="4">
                  <c:v>1.75</c:v>
                </c:pt>
                <c:pt idx="5">
                  <c:v>2</c:v>
                </c:pt>
                <c:pt idx="6">
                  <c:v>0</c:v>
                </c:pt>
                <c:pt idx="7">
                  <c:v>29.75</c:v>
                </c:pt>
                <c:pt idx="8">
                  <c:v>17.5</c:v>
                </c:pt>
                <c:pt idx="9">
                  <c:v>2</c:v>
                </c:pt>
                <c:pt idx="10">
                  <c:v>81.5</c:v>
                </c:pt>
              </c:numCache>
            </c:numRef>
          </c:val>
          <c:extLst>
            <c:ext xmlns:c16="http://schemas.microsoft.com/office/drawing/2014/chart" uri="{C3380CC4-5D6E-409C-BE32-E72D297353CC}">
              <c16:uniqueId val="{00000000-E79B-465C-8749-8D022C13D748}"/>
            </c:ext>
          </c:extLst>
        </c:ser>
        <c:ser>
          <c:idx val="1"/>
          <c:order val="1"/>
          <c:tx>
            <c:strRef>
              <c:f>Feuil1!$D$3</c:f>
              <c:strCache>
                <c:ptCount val="1"/>
                <c:pt idx="0">
                  <c:v>JNLTRAV</c:v>
                </c:pt>
              </c:strCache>
            </c:strRef>
          </c:tx>
          <c:spPr>
            <a:solidFill>
              <a:schemeClr val="accent5"/>
            </a:solidFill>
            <a:ln>
              <a:noFill/>
            </a:ln>
            <a:effectLst/>
          </c:spPr>
          <c:invertIfNegative val="0"/>
          <c:cat>
            <c:strRef>
              <c:f>Feuil1!$B$4:$B$14</c:f>
              <c:strCache>
                <c:ptCount val="11"/>
                <c:pt idx="0">
                  <c:v>Absence - Imprévus</c:v>
                </c:pt>
                <c:pt idx="1">
                  <c:v> JNLTRAV</c:v>
                </c:pt>
                <c:pt idx="2">
                  <c:v>Rapport</c:v>
                </c:pt>
                <c:pt idx="3">
                  <c:v>Présentation</c:v>
                </c:pt>
                <c:pt idx="4">
                  <c:v>INFORMER</c:v>
                </c:pt>
                <c:pt idx="5">
                  <c:v>PLANIFIER</c:v>
                </c:pt>
                <c:pt idx="6">
                  <c:v>DECIDER</c:v>
                </c:pt>
                <c:pt idx="7">
                  <c:v>REALISER </c:v>
                </c:pt>
                <c:pt idx="8">
                  <c:v>TESTER</c:v>
                </c:pt>
                <c:pt idx="9">
                  <c:v>EVALUER</c:v>
                </c:pt>
                <c:pt idx="10">
                  <c:v>Autre</c:v>
                </c:pt>
              </c:strCache>
            </c:strRef>
          </c:cat>
          <c:val>
            <c:numRef>
              <c:f>Feuil1!$D$4:$D$14</c:f>
              <c:numCache>
                <c:formatCode>General</c:formatCode>
                <c:ptCount val="11"/>
                <c:pt idx="0">
                  <c:v>51</c:v>
                </c:pt>
                <c:pt idx="1">
                  <c:v>6.25</c:v>
                </c:pt>
                <c:pt idx="2">
                  <c:v>40.75</c:v>
                </c:pt>
                <c:pt idx="3">
                  <c:v>4.5</c:v>
                </c:pt>
                <c:pt idx="4">
                  <c:v>1.75</c:v>
                </c:pt>
                <c:pt idx="5">
                  <c:v>2</c:v>
                </c:pt>
                <c:pt idx="6">
                  <c:v>0</c:v>
                </c:pt>
                <c:pt idx="7">
                  <c:v>24.25</c:v>
                </c:pt>
                <c:pt idx="8">
                  <c:v>5.75</c:v>
                </c:pt>
                <c:pt idx="9">
                  <c:v>1.25</c:v>
                </c:pt>
                <c:pt idx="10">
                  <c:v>41.75</c:v>
                </c:pt>
              </c:numCache>
            </c:numRef>
          </c:val>
          <c:extLst>
            <c:ext xmlns:c16="http://schemas.microsoft.com/office/drawing/2014/chart" uri="{C3380CC4-5D6E-409C-BE32-E72D297353CC}">
              <c16:uniqueId val="{00000001-E79B-465C-8749-8D022C13D748}"/>
            </c:ext>
          </c:extLst>
        </c:ser>
        <c:dLbls>
          <c:showLegendKey val="0"/>
          <c:showVal val="0"/>
          <c:showCatName val="0"/>
          <c:showSerName val="0"/>
          <c:showPercent val="0"/>
          <c:showBubbleSize val="0"/>
        </c:dLbls>
        <c:gapWidth val="219"/>
        <c:overlap val="-27"/>
        <c:axId val="1953198912"/>
        <c:axId val="1839193904"/>
      </c:barChart>
      <c:catAx>
        <c:axId val="195319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39193904"/>
        <c:crosses val="autoZero"/>
        <c:auto val="1"/>
        <c:lblAlgn val="ctr"/>
        <c:lblOffset val="100"/>
        <c:noMultiLvlLbl val="0"/>
      </c:catAx>
      <c:valAx>
        <c:axId val="18391939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H"/>
                  <a:t>Temps</a:t>
                </a:r>
                <a:r>
                  <a:rPr lang="fr-CH" baseline="0"/>
                  <a:t> en heure</a:t>
                </a:r>
                <a:endParaRPr lang="fr-CH"/>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53198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476250</xdr:colOff>
      <xdr:row>3</xdr:row>
      <xdr:rowOff>128586</xdr:rowOff>
    </xdr:from>
    <xdr:to>
      <xdr:col>14</xdr:col>
      <xdr:colOff>152400</xdr:colOff>
      <xdr:row>25</xdr:row>
      <xdr:rowOff>95249</xdr:rowOff>
    </xdr:to>
    <xdr:graphicFrame macro="">
      <xdr:nvGraphicFramePr>
        <xdr:cNvPr id="5" name="Graphique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7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8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5.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hyperlink" Target="https://developer.mozilla.org/fr/docs/Web/CSS/CSS_Grid_Layout" TargetMode="External"/><Relationship Id="rId18" Type="http://schemas.openxmlformats.org/officeDocument/2006/relationships/control" Target="../activeX/activeX6.xml"/><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hyperlink" Target="https://www.geeksforgeeks.org/html-input-required-attribute/" TargetMode="External"/><Relationship Id="rId17" Type="http://schemas.openxmlformats.org/officeDocument/2006/relationships/vmlDrawing" Target="../drawings/vmlDrawing5.vml"/><Relationship Id="rId2" Type="http://schemas.openxmlformats.org/officeDocument/2006/relationships/hyperlink" Target="https://www.youtube.com/watch?v=BQo-3ohwL5Y&amp;list=PLMWEEzYqZ0em1vnBx8F5GZd94Ejph4TjO" TargetMode="External"/><Relationship Id="rId16" Type="http://schemas.openxmlformats.org/officeDocument/2006/relationships/drawing" Target="../drawings/drawing5.xm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printerSettings" Target="../printerSettings/printerSettings6.bin"/><Relationship Id="rId10" Type="http://schemas.openxmlformats.org/officeDocument/2006/relationships/hyperlink" Target="https://startbootstrap.com/template/sb-admin" TargetMode="External"/><Relationship Id="rId19" Type="http://schemas.openxmlformats.org/officeDocument/2006/relationships/image" Target="../media/image7.emf"/><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hyperlink" Target="https://sql.sh/cours/jointures/left-joi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8.emf"/><Relationship Id="rId4" Type="http://schemas.openxmlformats.org/officeDocument/2006/relationships/control" Target="../activeX/activeX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zoomScaleNormal="100" zoomScaleSheetLayoutView="100" workbookViewId="0">
      <selection activeCell="C23" sqref="C23"/>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13" t="s">
        <v>18</v>
      </c>
      <c r="C19" s="214"/>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194"/>
      <c r="E24" s="59"/>
      <c r="F24" s="59"/>
      <c r="G24" s="60"/>
    </row>
    <row r="25" spans="1:7" ht="20.25" x14ac:dyDescent="0.25">
      <c r="A25" s="77"/>
      <c r="B25" s="78">
        <v>5</v>
      </c>
      <c r="C25" s="69" t="s">
        <v>44</v>
      </c>
      <c r="D25" s="194"/>
      <c r="E25" s="59"/>
      <c r="F25" s="59"/>
      <c r="G25" s="60"/>
    </row>
    <row r="26" spans="1:7" ht="20.25" x14ac:dyDescent="0.25">
      <c r="A26" s="77"/>
      <c r="B26" s="80">
        <v>6</v>
      </c>
      <c r="C26" s="69" t="s">
        <v>45</v>
      </c>
      <c r="D26" s="194"/>
      <c r="E26" s="59"/>
      <c r="F26" s="59"/>
      <c r="G26" s="60"/>
    </row>
    <row r="27" spans="1:7" ht="20.25" x14ac:dyDescent="0.25">
      <c r="A27" s="77"/>
      <c r="B27" s="78">
        <v>7</v>
      </c>
      <c r="C27" s="69" t="s">
        <v>93</v>
      </c>
      <c r="D27" s="194"/>
      <c r="E27" s="59"/>
      <c r="F27" s="59"/>
      <c r="G27" s="60"/>
    </row>
    <row r="28" spans="1:7" ht="20.25" x14ac:dyDescent="0.25">
      <c r="A28" s="77"/>
      <c r="B28" s="78">
        <v>8</v>
      </c>
      <c r="C28" s="69" t="s">
        <v>94</v>
      </c>
      <c r="D28" s="194"/>
      <c r="E28" s="59"/>
      <c r="F28" s="59"/>
      <c r="G28" s="60"/>
    </row>
    <row r="29" spans="1:7" ht="20.25" x14ac:dyDescent="0.25">
      <c r="A29" s="77"/>
      <c r="B29" s="80">
        <v>9</v>
      </c>
      <c r="C29" s="69" t="s">
        <v>103</v>
      </c>
      <c r="D29" s="194"/>
      <c r="E29" s="59"/>
      <c r="F29" s="59"/>
      <c r="G29" s="60"/>
    </row>
    <row r="30" spans="1:7" ht="20.25" x14ac:dyDescent="0.25">
      <c r="A30" s="77"/>
      <c r="B30" s="78">
        <v>10</v>
      </c>
      <c r="C30" s="69" t="s">
        <v>95</v>
      </c>
      <c r="D30" s="194"/>
      <c r="E30" s="59"/>
      <c r="F30" s="59"/>
      <c r="G30" s="60"/>
    </row>
    <row r="31" spans="1:7" ht="20.25" x14ac:dyDescent="0.25">
      <c r="A31" s="77"/>
      <c r="B31" s="78">
        <v>11</v>
      </c>
      <c r="C31" s="69" t="s">
        <v>96</v>
      </c>
      <c r="D31" s="194"/>
      <c r="E31" s="59"/>
      <c r="F31" s="59"/>
      <c r="G31" s="60"/>
    </row>
    <row r="32" spans="1:7" ht="20.25" x14ac:dyDescent="0.25">
      <c r="A32" s="77"/>
      <c r="B32" s="80">
        <v>12</v>
      </c>
      <c r="C32" s="69" t="s">
        <v>98</v>
      </c>
      <c r="D32" s="194"/>
      <c r="E32" s="59"/>
      <c r="F32" s="59"/>
      <c r="G32" s="60"/>
    </row>
    <row r="33" spans="1:7" ht="20.25" x14ac:dyDescent="0.25">
      <c r="A33" s="77"/>
      <c r="B33" s="78">
        <v>13</v>
      </c>
      <c r="C33" s="70" t="s">
        <v>97</v>
      </c>
      <c r="D33" s="194"/>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algorithmName="SHA-512" hashValue="Wp6kQVST7u2t4hdOR2woYRHH7PAFNz9h5vDagm3gL3PKTyQjeeTHMvGoIK7l6/Kd68+QdNAjN1jmmKpZTj722A==" saltValue="pi4uTHax61M/rG+457Hd/A==" spinCount="100000" sheet="1"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tabSelected="1" zoomScale="70" zoomScaleNormal="70" workbookViewId="0">
      <selection activeCell="AAU1" sqref="XJ1:AAU1048576"/>
    </sheetView>
  </sheetViews>
  <sheetFormatPr baseColWidth="10" defaultColWidth="1.5703125" defaultRowHeight="19.5" customHeight="1" x14ac:dyDescent="0.25"/>
  <cols>
    <col min="1" max="1" width="17.85546875" style="89" customWidth="1"/>
    <col min="2" max="2" width="71.28515625" style="89" bestFit="1" customWidth="1"/>
    <col min="3" max="3" width="19.42578125" style="89" customWidth="1"/>
    <col min="4" max="93" width="0.42578125" style="89" hidden="1" customWidth="1"/>
    <col min="94" max="723" width="0" style="89" hidden="1" customWidth="1"/>
    <col min="724" max="16384" width="1.5703125" style="89"/>
  </cols>
  <sheetData>
    <row r="1" spans="1:813" ht="14.25" thickBot="1" x14ac:dyDescent="0.3">
      <c r="B1" s="90"/>
      <c r="C1" s="90"/>
    </row>
    <row r="2" spans="1:813" ht="42.75" customHeight="1" thickBot="1" x14ac:dyDescent="0.3">
      <c r="A2" s="91"/>
      <c r="B2" s="92" t="s">
        <v>4</v>
      </c>
      <c r="C2" s="93" t="s">
        <v>17</v>
      </c>
      <c r="D2" s="221" t="s">
        <v>52</v>
      </c>
      <c r="E2" s="222"/>
      <c r="F2" s="222"/>
      <c r="G2" s="222"/>
      <c r="H2" s="222"/>
      <c r="I2" s="222"/>
      <c r="J2" s="222"/>
      <c r="K2" s="222"/>
      <c r="L2" s="222"/>
      <c r="M2" s="222"/>
      <c r="N2" s="222"/>
      <c r="O2" s="222"/>
      <c r="P2" s="222"/>
      <c r="Q2" s="222"/>
      <c r="R2" s="222"/>
      <c r="S2" s="222"/>
      <c r="T2" s="222"/>
      <c r="U2" s="222"/>
      <c r="V2" s="222"/>
      <c r="W2" s="222"/>
      <c r="X2" s="222"/>
      <c r="Y2" s="222"/>
      <c r="Z2" s="222"/>
      <c r="AA2" s="222"/>
      <c r="AB2" s="222"/>
      <c r="AC2" s="222"/>
      <c r="AD2" s="222"/>
      <c r="AE2" s="222"/>
      <c r="AF2" s="222"/>
      <c r="AG2" s="222"/>
      <c r="AH2" s="222"/>
      <c r="AI2" s="222"/>
      <c r="AJ2" s="222"/>
      <c r="AK2" s="222"/>
      <c r="AL2" s="222"/>
      <c r="AM2" s="222"/>
      <c r="AN2" s="222"/>
      <c r="AO2" s="222"/>
      <c r="AP2" s="222"/>
      <c r="AQ2" s="222"/>
      <c r="AR2" s="222"/>
      <c r="AS2" s="222"/>
      <c r="AT2" s="222"/>
      <c r="AU2" s="222"/>
      <c r="AV2" s="222"/>
      <c r="AW2" s="222"/>
      <c r="AX2" s="222"/>
      <c r="AY2" s="222"/>
      <c r="AZ2" s="222"/>
      <c r="BA2" s="222"/>
      <c r="BB2" s="222"/>
      <c r="BC2" s="222"/>
      <c r="BD2" s="222"/>
      <c r="BE2" s="222"/>
      <c r="BF2" s="222"/>
      <c r="BG2" s="222"/>
      <c r="BH2" s="222"/>
      <c r="BI2" s="222"/>
      <c r="BJ2" s="222"/>
      <c r="BK2" s="222"/>
      <c r="BL2" s="222"/>
      <c r="BM2" s="222"/>
      <c r="BN2" s="222"/>
      <c r="BO2" s="222"/>
      <c r="BP2" s="222"/>
      <c r="BQ2" s="222"/>
      <c r="BR2" s="222"/>
      <c r="BS2" s="222"/>
      <c r="BT2" s="222"/>
      <c r="BU2" s="222"/>
      <c r="BV2" s="222"/>
      <c r="BW2" s="222"/>
      <c r="BX2" s="222"/>
      <c r="BY2" s="222"/>
      <c r="BZ2" s="222"/>
      <c r="CA2" s="222"/>
      <c r="CB2" s="222"/>
      <c r="CC2" s="222"/>
      <c r="CD2" s="222"/>
      <c r="CE2" s="222"/>
      <c r="CF2" s="222"/>
      <c r="CG2" s="222"/>
      <c r="CH2" s="222"/>
      <c r="CI2" s="222"/>
      <c r="CJ2" s="222"/>
      <c r="CK2" s="222"/>
      <c r="CL2" s="222"/>
      <c r="CM2" s="222"/>
      <c r="CN2" s="222"/>
      <c r="CO2" s="223"/>
      <c r="CP2" s="221" t="s">
        <v>53</v>
      </c>
      <c r="CQ2" s="222"/>
      <c r="CR2" s="222"/>
      <c r="CS2" s="222"/>
      <c r="CT2" s="222"/>
      <c r="CU2" s="222"/>
      <c r="CV2" s="222"/>
      <c r="CW2" s="222"/>
      <c r="CX2" s="222"/>
      <c r="CY2" s="222"/>
      <c r="CZ2" s="222"/>
      <c r="DA2" s="222"/>
      <c r="DB2" s="222"/>
      <c r="DC2" s="222"/>
      <c r="DD2" s="222"/>
      <c r="DE2" s="222"/>
      <c r="DF2" s="222"/>
      <c r="DG2" s="222"/>
      <c r="DH2" s="222"/>
      <c r="DI2" s="222"/>
      <c r="DJ2" s="222"/>
      <c r="DK2" s="222"/>
      <c r="DL2" s="222"/>
      <c r="DM2" s="222"/>
      <c r="DN2" s="222"/>
      <c r="DO2" s="222"/>
      <c r="DP2" s="222"/>
      <c r="DQ2" s="222"/>
      <c r="DR2" s="222"/>
      <c r="DS2" s="222"/>
      <c r="DT2" s="222"/>
      <c r="DU2" s="222"/>
      <c r="DV2" s="222"/>
      <c r="DW2" s="222"/>
      <c r="DX2" s="222"/>
      <c r="DY2" s="222"/>
      <c r="DZ2" s="222"/>
      <c r="EA2" s="222"/>
      <c r="EB2" s="222"/>
      <c r="EC2" s="222"/>
      <c r="ED2" s="222"/>
      <c r="EE2" s="222"/>
      <c r="EF2" s="222"/>
      <c r="EG2" s="222"/>
      <c r="EH2" s="222"/>
      <c r="EI2" s="222"/>
      <c r="EJ2" s="222"/>
      <c r="EK2" s="222"/>
      <c r="EL2" s="222"/>
      <c r="EM2" s="222"/>
      <c r="EN2" s="222"/>
      <c r="EO2" s="222"/>
      <c r="EP2" s="222"/>
      <c r="EQ2" s="222"/>
      <c r="ER2" s="222"/>
      <c r="ES2" s="222"/>
      <c r="ET2" s="222"/>
      <c r="EU2" s="222"/>
      <c r="EV2" s="222"/>
      <c r="EW2" s="222"/>
      <c r="EX2" s="222"/>
      <c r="EY2" s="222"/>
      <c r="EZ2" s="222"/>
      <c r="FA2" s="222"/>
      <c r="FB2" s="222"/>
      <c r="FC2" s="222"/>
      <c r="FD2" s="222"/>
      <c r="FE2" s="222"/>
      <c r="FF2" s="222"/>
      <c r="FG2" s="222"/>
      <c r="FH2" s="222"/>
      <c r="FI2" s="222"/>
      <c r="FJ2" s="222"/>
      <c r="FK2" s="222"/>
      <c r="FL2" s="222"/>
      <c r="FM2" s="222"/>
      <c r="FN2" s="222"/>
      <c r="FO2" s="222"/>
      <c r="FP2" s="222"/>
      <c r="FQ2" s="222"/>
      <c r="FR2" s="222"/>
      <c r="FS2" s="222"/>
      <c r="FT2" s="222"/>
      <c r="FU2" s="222"/>
      <c r="FV2" s="222"/>
      <c r="FW2" s="222"/>
      <c r="FX2" s="222"/>
      <c r="FY2" s="222"/>
      <c r="FZ2" s="222"/>
      <c r="GA2" s="223"/>
      <c r="GB2" s="221" t="s">
        <v>54</v>
      </c>
      <c r="GC2" s="222"/>
      <c r="GD2" s="222"/>
      <c r="GE2" s="222"/>
      <c r="GF2" s="222"/>
      <c r="GG2" s="222"/>
      <c r="GH2" s="222"/>
      <c r="GI2" s="222"/>
      <c r="GJ2" s="222"/>
      <c r="GK2" s="222"/>
      <c r="GL2" s="222"/>
      <c r="GM2" s="222"/>
      <c r="GN2" s="222"/>
      <c r="GO2" s="222"/>
      <c r="GP2" s="222"/>
      <c r="GQ2" s="222"/>
      <c r="GR2" s="222"/>
      <c r="GS2" s="222"/>
      <c r="GT2" s="222"/>
      <c r="GU2" s="222"/>
      <c r="GV2" s="222"/>
      <c r="GW2" s="222"/>
      <c r="GX2" s="222"/>
      <c r="GY2" s="222"/>
      <c r="GZ2" s="222"/>
      <c r="HA2" s="222"/>
      <c r="HB2" s="222"/>
      <c r="HC2" s="222"/>
      <c r="HD2" s="222"/>
      <c r="HE2" s="222"/>
      <c r="HF2" s="222"/>
      <c r="HG2" s="222"/>
      <c r="HH2" s="222"/>
      <c r="HI2" s="222"/>
      <c r="HJ2" s="222"/>
      <c r="HK2" s="222"/>
      <c r="HL2" s="222"/>
      <c r="HM2" s="222"/>
      <c r="HN2" s="222"/>
      <c r="HO2" s="222"/>
      <c r="HP2" s="222"/>
      <c r="HQ2" s="222"/>
      <c r="HR2" s="222"/>
      <c r="HS2" s="222"/>
      <c r="HT2" s="222"/>
      <c r="HU2" s="222"/>
      <c r="HV2" s="222"/>
      <c r="HW2" s="222"/>
      <c r="HX2" s="222"/>
      <c r="HY2" s="222"/>
      <c r="HZ2" s="222"/>
      <c r="IA2" s="222"/>
      <c r="IB2" s="222"/>
      <c r="IC2" s="222"/>
      <c r="ID2" s="222"/>
      <c r="IE2" s="222"/>
      <c r="IF2" s="222"/>
      <c r="IG2" s="222"/>
      <c r="IH2" s="222"/>
      <c r="II2" s="222"/>
      <c r="IJ2" s="222"/>
      <c r="IK2" s="222"/>
      <c r="IL2" s="222"/>
      <c r="IM2" s="222"/>
      <c r="IN2" s="222"/>
      <c r="IO2" s="222"/>
      <c r="IP2" s="222"/>
      <c r="IQ2" s="222"/>
      <c r="IR2" s="222"/>
      <c r="IS2" s="222"/>
      <c r="IT2" s="222"/>
      <c r="IU2" s="222"/>
      <c r="IV2" s="222"/>
      <c r="IW2" s="222"/>
      <c r="IX2" s="222"/>
      <c r="IY2" s="222"/>
      <c r="IZ2" s="222"/>
      <c r="JA2" s="222"/>
      <c r="JB2" s="222"/>
      <c r="JC2" s="222"/>
      <c r="JD2" s="222"/>
      <c r="JE2" s="222"/>
      <c r="JF2" s="222"/>
      <c r="JG2" s="222"/>
      <c r="JH2" s="222"/>
      <c r="JI2" s="222"/>
      <c r="JJ2" s="222"/>
      <c r="JK2" s="222"/>
      <c r="JL2" s="222"/>
      <c r="JM2" s="223"/>
      <c r="JN2" s="221" t="s">
        <v>55</v>
      </c>
      <c r="JO2" s="222"/>
      <c r="JP2" s="222"/>
      <c r="JQ2" s="222"/>
      <c r="JR2" s="222"/>
      <c r="JS2" s="222"/>
      <c r="JT2" s="222"/>
      <c r="JU2" s="222"/>
      <c r="JV2" s="222"/>
      <c r="JW2" s="222"/>
      <c r="JX2" s="222"/>
      <c r="JY2" s="222"/>
      <c r="JZ2" s="222"/>
      <c r="KA2" s="222"/>
      <c r="KB2" s="222"/>
      <c r="KC2" s="222"/>
      <c r="KD2" s="222"/>
      <c r="KE2" s="222"/>
      <c r="KF2" s="222"/>
      <c r="KG2" s="222"/>
      <c r="KH2" s="222"/>
      <c r="KI2" s="222"/>
      <c r="KJ2" s="222"/>
      <c r="KK2" s="222"/>
      <c r="KL2" s="222"/>
      <c r="KM2" s="222"/>
      <c r="KN2" s="222"/>
      <c r="KO2" s="222"/>
      <c r="KP2" s="222"/>
      <c r="KQ2" s="222"/>
      <c r="KR2" s="222"/>
      <c r="KS2" s="222"/>
      <c r="KT2" s="222"/>
      <c r="KU2" s="222"/>
      <c r="KV2" s="222"/>
      <c r="KW2" s="222"/>
      <c r="KX2" s="222"/>
      <c r="KY2" s="222"/>
      <c r="KZ2" s="222"/>
      <c r="LA2" s="222"/>
      <c r="LB2" s="222"/>
      <c r="LC2" s="222"/>
      <c r="LD2" s="222"/>
      <c r="LE2" s="222"/>
      <c r="LF2" s="222"/>
      <c r="LG2" s="222"/>
      <c r="LH2" s="222"/>
      <c r="LI2" s="222"/>
      <c r="LJ2" s="222"/>
      <c r="LK2" s="222"/>
      <c r="LL2" s="222"/>
      <c r="LM2" s="222"/>
      <c r="LN2" s="222"/>
      <c r="LO2" s="222"/>
      <c r="LP2" s="222"/>
      <c r="LQ2" s="222"/>
      <c r="LR2" s="222"/>
      <c r="LS2" s="222"/>
      <c r="LT2" s="222"/>
      <c r="LU2" s="222"/>
      <c r="LV2" s="222"/>
      <c r="LW2" s="222"/>
      <c r="LX2" s="222"/>
      <c r="LY2" s="222"/>
      <c r="LZ2" s="222"/>
      <c r="MA2" s="222"/>
      <c r="MB2" s="222"/>
      <c r="MC2" s="222"/>
      <c r="MD2" s="222"/>
      <c r="ME2" s="222"/>
      <c r="MF2" s="222"/>
      <c r="MG2" s="222"/>
      <c r="MH2" s="222"/>
      <c r="MI2" s="222"/>
      <c r="MJ2" s="222"/>
      <c r="MK2" s="222"/>
      <c r="ML2" s="222"/>
      <c r="MM2" s="222"/>
      <c r="MN2" s="222"/>
      <c r="MO2" s="222"/>
      <c r="MP2" s="222"/>
      <c r="MQ2" s="222"/>
      <c r="MR2" s="222"/>
      <c r="MS2" s="222"/>
      <c r="MT2" s="222"/>
      <c r="MU2" s="222"/>
      <c r="MV2" s="222"/>
      <c r="MW2" s="222"/>
      <c r="MX2" s="222"/>
      <c r="MY2" s="223"/>
      <c r="MZ2" s="221" t="s">
        <v>56</v>
      </c>
      <c r="NA2" s="222"/>
      <c r="NB2" s="222"/>
      <c r="NC2" s="222"/>
      <c r="ND2" s="222"/>
      <c r="NE2" s="222"/>
      <c r="NF2" s="222"/>
      <c r="NG2" s="222"/>
      <c r="NH2" s="222"/>
      <c r="NI2" s="222"/>
      <c r="NJ2" s="222"/>
      <c r="NK2" s="222"/>
      <c r="NL2" s="222"/>
      <c r="NM2" s="222"/>
      <c r="NN2" s="222"/>
      <c r="NO2" s="222"/>
      <c r="NP2" s="222"/>
      <c r="NQ2" s="222"/>
      <c r="NR2" s="222"/>
      <c r="NS2" s="222"/>
      <c r="NT2" s="222"/>
      <c r="NU2" s="222"/>
      <c r="NV2" s="222"/>
      <c r="NW2" s="222"/>
      <c r="NX2" s="222"/>
      <c r="NY2" s="222"/>
      <c r="NZ2" s="222"/>
      <c r="OA2" s="222"/>
      <c r="OB2" s="222"/>
      <c r="OC2" s="222"/>
      <c r="OD2" s="222"/>
      <c r="OE2" s="222"/>
      <c r="OF2" s="222"/>
      <c r="OG2" s="222"/>
      <c r="OH2" s="222"/>
      <c r="OI2" s="222"/>
      <c r="OJ2" s="222"/>
      <c r="OK2" s="222"/>
      <c r="OL2" s="222"/>
      <c r="OM2" s="222"/>
      <c r="ON2" s="222"/>
      <c r="OO2" s="222"/>
      <c r="OP2" s="222"/>
      <c r="OQ2" s="222"/>
      <c r="OR2" s="222"/>
      <c r="OS2" s="222"/>
      <c r="OT2" s="222"/>
      <c r="OU2" s="222"/>
      <c r="OV2" s="222"/>
      <c r="OW2" s="222"/>
      <c r="OX2" s="222"/>
      <c r="OY2" s="222"/>
      <c r="OZ2" s="222"/>
      <c r="PA2" s="222"/>
      <c r="PB2" s="222"/>
      <c r="PC2" s="222"/>
      <c r="PD2" s="222"/>
      <c r="PE2" s="222"/>
      <c r="PF2" s="222"/>
      <c r="PG2" s="222"/>
      <c r="PH2" s="222"/>
      <c r="PI2" s="222"/>
      <c r="PJ2" s="222"/>
      <c r="PK2" s="222"/>
      <c r="PL2" s="222"/>
      <c r="PM2" s="222"/>
      <c r="PN2" s="222"/>
      <c r="PO2" s="222"/>
      <c r="PP2" s="222"/>
      <c r="PQ2" s="222"/>
      <c r="PR2" s="222"/>
      <c r="PS2" s="222"/>
      <c r="PT2" s="222"/>
      <c r="PU2" s="222"/>
      <c r="PV2" s="222"/>
      <c r="PW2" s="222"/>
      <c r="PX2" s="222"/>
      <c r="PY2" s="222"/>
      <c r="PZ2" s="222"/>
      <c r="QA2" s="222"/>
      <c r="QB2" s="222"/>
      <c r="QC2" s="222"/>
      <c r="QD2" s="222"/>
      <c r="QE2" s="222"/>
      <c r="QF2" s="222"/>
      <c r="QG2" s="222"/>
      <c r="QH2" s="222"/>
      <c r="QI2" s="222"/>
      <c r="QJ2" s="222"/>
      <c r="QK2" s="223"/>
      <c r="QL2" s="221" t="s">
        <v>57</v>
      </c>
      <c r="QM2" s="222"/>
      <c r="QN2" s="222"/>
      <c r="QO2" s="222"/>
      <c r="QP2" s="222"/>
      <c r="QQ2" s="222"/>
      <c r="QR2" s="222"/>
      <c r="QS2" s="222"/>
      <c r="QT2" s="222"/>
      <c r="QU2" s="222"/>
      <c r="QV2" s="222"/>
      <c r="QW2" s="222"/>
      <c r="QX2" s="222"/>
      <c r="QY2" s="222"/>
      <c r="QZ2" s="222"/>
      <c r="RA2" s="222"/>
      <c r="RB2" s="222"/>
      <c r="RC2" s="222"/>
      <c r="RD2" s="222"/>
      <c r="RE2" s="222"/>
      <c r="RF2" s="222"/>
      <c r="RG2" s="222"/>
      <c r="RH2" s="222"/>
      <c r="RI2" s="222"/>
      <c r="RJ2" s="222"/>
      <c r="RK2" s="222"/>
      <c r="RL2" s="222"/>
      <c r="RM2" s="222"/>
      <c r="RN2" s="222"/>
      <c r="RO2" s="222"/>
      <c r="RP2" s="222"/>
      <c r="RQ2" s="222"/>
      <c r="RR2" s="222"/>
      <c r="RS2" s="222"/>
      <c r="RT2" s="222"/>
      <c r="RU2" s="222"/>
      <c r="RV2" s="222"/>
      <c r="RW2" s="222"/>
      <c r="RX2" s="222"/>
      <c r="RY2" s="222"/>
      <c r="RZ2" s="222"/>
      <c r="SA2" s="222"/>
      <c r="SB2" s="222"/>
      <c r="SC2" s="222"/>
      <c r="SD2" s="222"/>
      <c r="SE2" s="222"/>
      <c r="SF2" s="222"/>
      <c r="SG2" s="222"/>
      <c r="SH2" s="222"/>
      <c r="SI2" s="222"/>
      <c r="SJ2" s="222"/>
      <c r="SK2" s="222"/>
      <c r="SL2" s="222"/>
      <c r="SM2" s="222"/>
      <c r="SN2" s="222"/>
      <c r="SO2" s="222"/>
      <c r="SP2" s="222"/>
      <c r="SQ2" s="222"/>
      <c r="SR2" s="222"/>
      <c r="SS2" s="222"/>
      <c r="ST2" s="222"/>
      <c r="SU2" s="222"/>
      <c r="SV2" s="222"/>
      <c r="SW2" s="222"/>
      <c r="SX2" s="222"/>
      <c r="SY2" s="222"/>
      <c r="SZ2" s="222"/>
      <c r="TA2" s="222"/>
      <c r="TB2" s="222"/>
      <c r="TC2" s="222"/>
      <c r="TD2" s="222"/>
      <c r="TE2" s="222"/>
      <c r="TF2" s="222"/>
      <c r="TG2" s="222"/>
      <c r="TH2" s="222"/>
      <c r="TI2" s="222"/>
      <c r="TJ2" s="222"/>
      <c r="TK2" s="222"/>
      <c r="TL2" s="222"/>
      <c r="TM2" s="222"/>
      <c r="TN2" s="222"/>
      <c r="TO2" s="222"/>
      <c r="TP2" s="222"/>
      <c r="TQ2" s="222"/>
      <c r="TR2" s="222"/>
      <c r="TS2" s="222"/>
      <c r="TT2" s="222"/>
      <c r="TU2" s="222"/>
      <c r="TV2" s="222"/>
      <c r="TW2" s="223"/>
      <c r="TX2" s="221" t="s">
        <v>58</v>
      </c>
      <c r="TY2" s="222"/>
      <c r="TZ2" s="222"/>
      <c r="UA2" s="222"/>
      <c r="UB2" s="222"/>
      <c r="UC2" s="222"/>
      <c r="UD2" s="222"/>
      <c r="UE2" s="222"/>
      <c r="UF2" s="222"/>
      <c r="UG2" s="222"/>
      <c r="UH2" s="222"/>
      <c r="UI2" s="222"/>
      <c r="UJ2" s="222"/>
      <c r="UK2" s="222"/>
      <c r="UL2" s="222"/>
      <c r="UM2" s="222"/>
      <c r="UN2" s="222"/>
      <c r="UO2" s="222"/>
      <c r="UP2" s="222"/>
      <c r="UQ2" s="222"/>
      <c r="UR2" s="222"/>
      <c r="US2" s="222"/>
      <c r="UT2" s="222"/>
      <c r="UU2" s="222"/>
      <c r="UV2" s="222"/>
      <c r="UW2" s="222"/>
      <c r="UX2" s="222"/>
      <c r="UY2" s="222"/>
      <c r="UZ2" s="222"/>
      <c r="VA2" s="222"/>
      <c r="VB2" s="222"/>
      <c r="VC2" s="222"/>
      <c r="VD2" s="222"/>
      <c r="VE2" s="222"/>
      <c r="VF2" s="222"/>
      <c r="VG2" s="222"/>
      <c r="VH2" s="222"/>
      <c r="VI2" s="222"/>
      <c r="VJ2" s="222"/>
      <c r="VK2" s="222"/>
      <c r="VL2" s="222"/>
      <c r="VM2" s="222"/>
      <c r="VN2" s="222"/>
      <c r="VO2" s="222"/>
      <c r="VP2" s="222"/>
      <c r="VQ2" s="222"/>
      <c r="VR2" s="222"/>
      <c r="VS2" s="222"/>
      <c r="VT2" s="222"/>
      <c r="VU2" s="222"/>
      <c r="VV2" s="222"/>
      <c r="VW2" s="222"/>
      <c r="VX2" s="222"/>
      <c r="VY2" s="222"/>
      <c r="VZ2" s="222"/>
      <c r="WA2" s="222"/>
      <c r="WB2" s="222"/>
      <c r="WC2" s="222"/>
      <c r="WD2" s="222"/>
      <c r="WE2" s="222"/>
      <c r="WF2" s="222"/>
      <c r="WG2" s="222"/>
      <c r="WH2" s="222"/>
      <c r="WI2" s="222"/>
      <c r="WJ2" s="222"/>
      <c r="WK2" s="222"/>
      <c r="WL2" s="222"/>
      <c r="WM2" s="222"/>
      <c r="WN2" s="222"/>
      <c r="WO2" s="222"/>
      <c r="WP2" s="222"/>
      <c r="WQ2" s="222"/>
      <c r="WR2" s="222"/>
      <c r="WS2" s="222"/>
      <c r="WT2" s="222"/>
      <c r="WU2" s="222"/>
      <c r="WV2" s="222"/>
      <c r="WW2" s="222"/>
      <c r="WX2" s="222"/>
      <c r="WY2" s="222"/>
      <c r="WZ2" s="222"/>
      <c r="XA2" s="222"/>
      <c r="XB2" s="222"/>
      <c r="XC2" s="222"/>
      <c r="XD2" s="222"/>
      <c r="XE2" s="222"/>
      <c r="XF2" s="222"/>
      <c r="XG2" s="222"/>
      <c r="XH2" s="222"/>
      <c r="XI2" s="223"/>
      <c r="XJ2" s="221" t="s">
        <v>59</v>
      </c>
      <c r="XK2" s="222"/>
      <c r="XL2" s="222"/>
      <c r="XM2" s="222"/>
      <c r="XN2" s="222"/>
      <c r="XO2" s="222"/>
      <c r="XP2" s="222"/>
      <c r="XQ2" s="222"/>
      <c r="XR2" s="222"/>
      <c r="XS2" s="222"/>
      <c r="XT2" s="222"/>
      <c r="XU2" s="222"/>
      <c r="XV2" s="222"/>
      <c r="XW2" s="222"/>
      <c r="XX2" s="222"/>
      <c r="XY2" s="222"/>
      <c r="XZ2" s="222"/>
      <c r="YA2" s="222"/>
      <c r="YB2" s="222"/>
      <c r="YC2" s="222"/>
      <c r="YD2" s="222"/>
      <c r="YE2" s="222"/>
      <c r="YF2" s="222"/>
      <c r="YG2" s="222"/>
      <c r="YH2" s="222"/>
      <c r="YI2" s="222"/>
      <c r="YJ2" s="222"/>
      <c r="YK2" s="222"/>
      <c r="YL2" s="222"/>
      <c r="YM2" s="222"/>
      <c r="YN2" s="222"/>
      <c r="YO2" s="222"/>
      <c r="YP2" s="222"/>
      <c r="YQ2" s="222"/>
      <c r="YR2" s="222"/>
      <c r="YS2" s="222"/>
      <c r="YT2" s="222"/>
      <c r="YU2" s="222"/>
      <c r="YV2" s="222"/>
      <c r="YW2" s="222"/>
      <c r="YX2" s="222"/>
      <c r="YY2" s="222"/>
      <c r="YZ2" s="222"/>
      <c r="ZA2" s="222"/>
      <c r="ZB2" s="222"/>
      <c r="ZC2" s="222"/>
      <c r="ZD2" s="222"/>
      <c r="ZE2" s="222"/>
      <c r="ZF2" s="222"/>
      <c r="ZG2" s="222"/>
      <c r="ZH2" s="222"/>
      <c r="ZI2" s="222"/>
      <c r="ZJ2" s="222"/>
      <c r="ZK2" s="222"/>
      <c r="ZL2" s="222"/>
      <c r="ZM2" s="222"/>
      <c r="ZN2" s="222"/>
      <c r="ZO2" s="222"/>
      <c r="ZP2" s="222"/>
      <c r="ZQ2" s="222"/>
      <c r="ZR2" s="222"/>
      <c r="ZS2" s="222"/>
      <c r="ZT2" s="222"/>
      <c r="ZU2" s="222"/>
      <c r="ZV2" s="222"/>
      <c r="ZW2" s="222"/>
      <c r="ZX2" s="222"/>
      <c r="ZY2" s="222"/>
      <c r="ZZ2" s="222"/>
      <c r="AAA2" s="222"/>
      <c r="AAB2" s="222"/>
      <c r="AAC2" s="222"/>
      <c r="AAD2" s="222"/>
      <c r="AAE2" s="222"/>
      <c r="AAF2" s="222"/>
      <c r="AAG2" s="222"/>
      <c r="AAH2" s="222"/>
      <c r="AAI2" s="222"/>
      <c r="AAJ2" s="222"/>
      <c r="AAK2" s="222"/>
      <c r="AAL2" s="222"/>
      <c r="AAM2" s="222"/>
      <c r="AAN2" s="222"/>
      <c r="AAO2" s="222"/>
      <c r="AAP2" s="222"/>
      <c r="AAQ2" s="222"/>
      <c r="AAR2" s="222"/>
      <c r="AAS2" s="222"/>
      <c r="AAT2" s="222"/>
      <c r="AAU2" s="223"/>
      <c r="AAV2" s="221" t="s">
        <v>60</v>
      </c>
      <c r="AAW2" s="222"/>
      <c r="AAX2" s="222"/>
      <c r="AAY2" s="222"/>
      <c r="AAZ2" s="222"/>
      <c r="ABA2" s="222"/>
      <c r="ABB2" s="222"/>
      <c r="ABC2" s="222"/>
      <c r="ABD2" s="222"/>
      <c r="ABE2" s="222"/>
      <c r="ABF2" s="222"/>
      <c r="ABG2" s="222"/>
      <c r="ABH2" s="222"/>
      <c r="ABI2" s="222"/>
      <c r="ABJ2" s="222"/>
      <c r="ABK2" s="222"/>
      <c r="ABL2" s="222"/>
      <c r="ABM2" s="222"/>
      <c r="ABN2" s="222"/>
      <c r="ABO2" s="222"/>
      <c r="ABP2" s="222"/>
      <c r="ABQ2" s="222"/>
      <c r="ABR2" s="222"/>
      <c r="ABS2" s="222"/>
      <c r="ABT2" s="222"/>
      <c r="ABU2" s="222"/>
      <c r="ABV2" s="222"/>
      <c r="ABW2" s="222"/>
      <c r="ABX2" s="222"/>
      <c r="ABY2" s="222"/>
      <c r="ABZ2" s="222"/>
      <c r="ACA2" s="222"/>
      <c r="ACB2" s="222"/>
      <c r="ACC2" s="222"/>
      <c r="ACD2" s="222"/>
      <c r="ACE2" s="222"/>
      <c r="ACF2" s="222"/>
      <c r="ACG2" s="222"/>
      <c r="ACH2" s="222"/>
      <c r="ACI2" s="222"/>
      <c r="ACJ2" s="222"/>
      <c r="ACK2" s="222"/>
      <c r="ACL2" s="222"/>
      <c r="ACM2" s="222"/>
      <c r="ACN2" s="222"/>
      <c r="ACO2" s="222"/>
      <c r="ACP2" s="222"/>
      <c r="ACQ2" s="222"/>
      <c r="ACR2" s="222"/>
      <c r="ACS2" s="222"/>
      <c r="ACT2" s="222"/>
      <c r="ACU2" s="222"/>
      <c r="ACV2" s="222"/>
      <c r="ACW2" s="222"/>
      <c r="ACX2" s="222"/>
      <c r="ACY2" s="222"/>
      <c r="ACZ2" s="222"/>
      <c r="ADA2" s="222"/>
      <c r="ADB2" s="222"/>
      <c r="ADC2" s="222"/>
      <c r="ADD2" s="222"/>
      <c r="ADE2" s="222"/>
      <c r="ADF2" s="222"/>
      <c r="ADG2" s="222"/>
      <c r="ADH2" s="222"/>
      <c r="ADI2" s="222"/>
      <c r="ADJ2" s="222"/>
      <c r="ADK2" s="222"/>
      <c r="ADL2" s="222"/>
      <c r="ADM2" s="222"/>
      <c r="ADN2" s="222"/>
      <c r="ADO2" s="222"/>
      <c r="ADP2" s="222"/>
      <c r="ADQ2" s="222"/>
      <c r="ADR2" s="222"/>
      <c r="ADS2" s="222"/>
      <c r="ADT2" s="222"/>
      <c r="ADU2" s="222"/>
      <c r="ADV2" s="222"/>
      <c r="ADW2" s="222"/>
      <c r="ADX2" s="222"/>
      <c r="ADY2" s="222"/>
      <c r="ADZ2" s="222"/>
      <c r="AEA2" s="222"/>
      <c r="AEB2" s="222"/>
      <c r="AEC2" s="222"/>
      <c r="AED2" s="222"/>
      <c r="AEE2" s="222"/>
      <c r="AEF2" s="222"/>
      <c r="AEG2" s="223"/>
    </row>
    <row r="3" spans="1:813" ht="19.5" customHeight="1" x14ac:dyDescent="0.25">
      <c r="A3" s="91"/>
      <c r="B3" s="224" t="s">
        <v>20</v>
      </c>
      <c r="C3" s="94">
        <v>104</v>
      </c>
      <c r="D3" s="146"/>
      <c r="E3" s="147"/>
      <c r="F3" s="148"/>
      <c r="G3" s="149"/>
      <c r="H3" s="147"/>
      <c r="I3" s="148"/>
      <c r="J3" s="149"/>
      <c r="K3" s="147"/>
      <c r="L3" s="148"/>
      <c r="M3" s="149"/>
      <c r="N3" s="147"/>
      <c r="O3" s="148"/>
      <c r="P3" s="149"/>
      <c r="Q3" s="147"/>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46"/>
      <c r="JO3" s="147"/>
      <c r="JP3" s="148"/>
      <c r="JQ3" s="149"/>
      <c r="JR3" s="147"/>
      <c r="JS3" s="148"/>
      <c r="JT3" s="149"/>
      <c r="JU3" s="147"/>
      <c r="JV3" s="148"/>
      <c r="JW3" s="149"/>
      <c r="JX3" s="147"/>
      <c r="JY3" s="148"/>
      <c r="JZ3" s="149"/>
      <c r="KA3" s="147"/>
      <c r="KB3" s="148"/>
      <c r="KC3" s="149"/>
      <c r="KD3" s="147"/>
      <c r="KE3" s="148"/>
      <c r="KF3" s="149"/>
      <c r="KG3" s="147"/>
      <c r="KH3" s="148"/>
      <c r="KI3" s="149"/>
      <c r="KJ3" s="147"/>
      <c r="KK3" s="148"/>
      <c r="KL3" s="149"/>
      <c r="KM3" s="147"/>
      <c r="KN3" s="148"/>
      <c r="KO3" s="149"/>
      <c r="KP3" s="147"/>
      <c r="KQ3" s="148"/>
      <c r="KR3" s="149"/>
      <c r="KS3" s="147"/>
      <c r="KT3" s="148"/>
      <c r="KU3" s="149"/>
      <c r="KV3" s="147"/>
      <c r="KW3" s="148"/>
      <c r="KX3" s="149"/>
      <c r="KY3" s="147"/>
      <c r="KZ3" s="148"/>
      <c r="LA3" s="149"/>
      <c r="LB3" s="147"/>
      <c r="LC3" s="148"/>
      <c r="LD3" s="149"/>
      <c r="LE3" s="147"/>
      <c r="LF3" s="148"/>
      <c r="LG3" s="149"/>
      <c r="LH3" s="147"/>
      <c r="LI3" s="148"/>
      <c r="LJ3" s="149"/>
      <c r="LK3" s="147"/>
      <c r="LL3" s="148"/>
      <c r="LM3" s="149"/>
      <c r="LN3" s="147"/>
      <c r="LO3" s="148"/>
      <c r="LP3" s="149"/>
      <c r="LQ3" s="147"/>
      <c r="LR3" s="148"/>
      <c r="LS3" s="149"/>
      <c r="LT3" s="147"/>
      <c r="LU3" s="148"/>
      <c r="LV3" s="149"/>
      <c r="LW3" s="147"/>
      <c r="LX3" s="148"/>
      <c r="LY3" s="149"/>
      <c r="LZ3" s="147"/>
      <c r="MA3" s="148"/>
      <c r="MB3" s="149"/>
      <c r="MC3" s="147"/>
      <c r="MD3" s="148"/>
      <c r="ME3" s="149"/>
      <c r="MF3" s="147"/>
      <c r="MG3" s="148"/>
      <c r="MH3" s="149"/>
      <c r="MI3" s="147"/>
      <c r="MJ3" s="148"/>
      <c r="MK3" s="149"/>
      <c r="ML3" s="147"/>
      <c r="MM3" s="148"/>
      <c r="MN3" s="149"/>
      <c r="MO3" s="147"/>
      <c r="MP3" s="148"/>
      <c r="MQ3" s="149"/>
      <c r="MR3" s="147"/>
      <c r="MS3" s="148"/>
      <c r="MT3" s="149"/>
      <c r="MU3" s="147"/>
      <c r="MV3" s="148"/>
      <c r="MW3" s="149"/>
      <c r="MX3" s="147"/>
      <c r="MY3" s="176"/>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25"/>
      <c r="C4" s="100">
        <v>294</v>
      </c>
      <c r="D4" s="200"/>
      <c r="E4" s="201"/>
      <c r="F4" s="202"/>
      <c r="G4" s="203"/>
      <c r="H4" s="201"/>
      <c r="I4" s="202"/>
      <c r="J4" s="203"/>
      <c r="K4" s="201"/>
      <c r="L4" s="202"/>
      <c r="M4" s="203"/>
      <c r="N4" s="201"/>
      <c r="O4" s="202"/>
      <c r="P4" s="203"/>
      <c r="Q4" s="201"/>
      <c r="R4" s="103"/>
      <c r="S4" s="104"/>
      <c r="T4" s="102"/>
      <c r="U4" s="103"/>
      <c r="V4" s="104"/>
      <c r="W4" s="102"/>
      <c r="X4" s="103"/>
      <c r="Y4" s="104"/>
      <c r="Z4" s="102"/>
      <c r="AA4" s="103"/>
      <c r="AB4" s="203"/>
      <c r="AC4" s="102"/>
      <c r="AD4" s="103"/>
      <c r="AE4" s="104"/>
      <c r="AF4" s="102"/>
      <c r="AG4" s="103"/>
      <c r="AH4" s="104"/>
      <c r="AI4" s="102"/>
      <c r="AJ4" s="103"/>
      <c r="AK4" s="104"/>
      <c r="AL4" s="102"/>
      <c r="AM4" s="103"/>
      <c r="AN4" s="104"/>
      <c r="AO4" s="102"/>
      <c r="AP4" s="103"/>
      <c r="AQ4" s="104"/>
      <c r="AR4" s="102"/>
      <c r="AS4" s="103"/>
      <c r="AT4" s="104"/>
      <c r="AU4" s="102"/>
      <c r="AV4" s="103"/>
      <c r="AW4" s="203"/>
      <c r="AX4" s="201"/>
      <c r="AY4" s="202"/>
      <c r="AZ4" s="203"/>
      <c r="BA4" s="201"/>
      <c r="BB4" s="202"/>
      <c r="BC4" s="104"/>
      <c r="BD4" s="102"/>
      <c r="BE4" s="103"/>
      <c r="BF4" s="104"/>
      <c r="BG4" s="201"/>
      <c r="BH4" s="202"/>
      <c r="BI4" s="104"/>
      <c r="BJ4" s="102"/>
      <c r="BK4" s="202"/>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201"/>
      <c r="DP4" s="202"/>
      <c r="DQ4" s="203"/>
      <c r="DR4" s="201"/>
      <c r="DS4" s="202"/>
      <c r="DT4" s="203"/>
      <c r="DU4" s="201"/>
      <c r="DV4" s="103"/>
      <c r="DW4" s="104"/>
      <c r="DX4" s="102"/>
      <c r="DY4" s="103"/>
      <c r="DZ4" s="104"/>
      <c r="EA4" s="102"/>
      <c r="EB4" s="103"/>
      <c r="EC4" s="104"/>
      <c r="ED4" s="102"/>
      <c r="EE4" s="103"/>
      <c r="EF4" s="104"/>
      <c r="EG4" s="201"/>
      <c r="EH4" s="202"/>
      <c r="EI4" s="203"/>
      <c r="EJ4" s="102"/>
      <c r="EK4" s="103"/>
      <c r="EL4" s="104"/>
      <c r="EM4" s="102"/>
      <c r="EN4" s="103"/>
      <c r="EO4" s="104"/>
      <c r="EP4" s="102"/>
      <c r="EQ4" s="103"/>
      <c r="ER4" s="104"/>
      <c r="ES4" s="102"/>
      <c r="ET4" s="103"/>
      <c r="EU4" s="104"/>
      <c r="EV4" s="102"/>
      <c r="EW4" s="103"/>
      <c r="EX4" s="104"/>
      <c r="EY4" s="102"/>
      <c r="EZ4" s="103"/>
      <c r="FA4" s="104"/>
      <c r="FB4" s="102"/>
      <c r="FC4" s="103"/>
      <c r="FD4" s="104"/>
      <c r="FE4" s="102"/>
      <c r="FF4" s="103"/>
      <c r="FG4" s="104"/>
      <c r="FH4" s="102"/>
      <c r="FI4" s="103"/>
      <c r="FJ4" s="104"/>
      <c r="FK4" s="102"/>
      <c r="FL4" s="103"/>
      <c r="FM4" s="104"/>
      <c r="FN4" s="102"/>
      <c r="FO4" s="103"/>
      <c r="FP4" s="104"/>
      <c r="FQ4" s="102"/>
      <c r="FR4" s="103"/>
      <c r="FS4" s="104"/>
      <c r="FT4" s="102"/>
      <c r="FU4" s="103"/>
      <c r="FV4" s="104"/>
      <c r="FW4" s="102"/>
      <c r="FX4" s="103"/>
      <c r="FY4" s="104"/>
      <c r="FZ4" s="201"/>
      <c r="GA4" s="105"/>
      <c r="GB4" s="101"/>
      <c r="GC4" s="102"/>
      <c r="GD4" s="103"/>
      <c r="GE4" s="104"/>
      <c r="GF4" s="102"/>
      <c r="GG4" s="103"/>
      <c r="GH4" s="104"/>
      <c r="GI4" s="102"/>
      <c r="GJ4" s="103"/>
      <c r="GK4" s="104"/>
      <c r="GL4" s="102"/>
      <c r="GM4" s="103"/>
      <c r="GN4" s="104"/>
      <c r="GO4" s="102"/>
      <c r="GP4" s="103"/>
      <c r="GQ4" s="104"/>
      <c r="GR4" s="102"/>
      <c r="GS4" s="103"/>
      <c r="GT4" s="104"/>
      <c r="GU4" s="102"/>
      <c r="GV4" s="103"/>
      <c r="GW4" s="104"/>
      <c r="GX4" s="102"/>
      <c r="GY4" s="103"/>
      <c r="GZ4" s="104"/>
      <c r="HA4" s="102"/>
      <c r="HB4" s="103"/>
      <c r="HC4" s="104"/>
      <c r="HD4" s="102"/>
      <c r="HE4" s="103"/>
      <c r="HF4" s="104"/>
      <c r="HG4" s="102"/>
      <c r="HH4" s="103"/>
      <c r="HI4" s="104"/>
      <c r="HJ4" s="102"/>
      <c r="HK4" s="103"/>
      <c r="HL4" s="104"/>
      <c r="HM4" s="102"/>
      <c r="HN4" s="103"/>
      <c r="HO4" s="104"/>
      <c r="HP4" s="102"/>
      <c r="HQ4" s="103"/>
      <c r="HR4" s="104"/>
      <c r="HS4" s="102"/>
      <c r="HT4" s="103"/>
      <c r="HU4" s="104"/>
      <c r="HV4" s="102"/>
      <c r="HW4" s="103"/>
      <c r="HX4" s="104"/>
      <c r="HY4" s="102"/>
      <c r="HZ4" s="103"/>
      <c r="IA4" s="104"/>
      <c r="IB4" s="102"/>
      <c r="IC4" s="103"/>
      <c r="ID4" s="104"/>
      <c r="IE4" s="102"/>
      <c r="IF4" s="103"/>
      <c r="IG4" s="104"/>
      <c r="IH4" s="102"/>
      <c r="II4" s="103"/>
      <c r="IJ4" s="104"/>
      <c r="IK4" s="102"/>
      <c r="IL4" s="103"/>
      <c r="IM4" s="104"/>
      <c r="IN4" s="102"/>
      <c r="IO4" s="103"/>
      <c r="IP4" s="104"/>
      <c r="IQ4" s="102"/>
      <c r="IR4" s="103"/>
      <c r="IS4" s="104"/>
      <c r="IT4" s="102"/>
      <c r="IU4" s="103"/>
      <c r="IV4" s="104"/>
      <c r="IW4" s="102"/>
      <c r="IX4" s="103"/>
      <c r="IY4" s="104"/>
      <c r="IZ4" s="102"/>
      <c r="JA4" s="103"/>
      <c r="JB4" s="104"/>
      <c r="JC4" s="102"/>
      <c r="JD4" s="103"/>
      <c r="JE4" s="104"/>
      <c r="JF4" s="102"/>
      <c r="JG4" s="103"/>
      <c r="JH4" s="104"/>
      <c r="JI4" s="102"/>
      <c r="JJ4" s="103"/>
      <c r="JK4" s="104"/>
      <c r="JL4" s="102"/>
      <c r="JM4" s="105"/>
      <c r="JN4" s="200"/>
      <c r="JO4" s="201"/>
      <c r="JP4" s="202"/>
      <c r="JQ4" s="203"/>
      <c r="JR4" s="201"/>
      <c r="JS4" s="202"/>
      <c r="JT4" s="203"/>
      <c r="JU4" s="201"/>
      <c r="JV4" s="202"/>
      <c r="JW4" s="203"/>
      <c r="JX4" s="201"/>
      <c r="JY4" s="202"/>
      <c r="JZ4" s="203"/>
      <c r="KA4" s="201"/>
      <c r="KB4" s="202"/>
      <c r="KC4" s="203"/>
      <c r="KD4" s="201"/>
      <c r="KE4" s="202"/>
      <c r="KF4" s="203"/>
      <c r="KG4" s="201"/>
      <c r="KH4" s="202"/>
      <c r="KI4" s="203"/>
      <c r="KJ4" s="201"/>
      <c r="KK4" s="202"/>
      <c r="KL4" s="203"/>
      <c r="KM4" s="201"/>
      <c r="KN4" s="202"/>
      <c r="KO4" s="203"/>
      <c r="KP4" s="201"/>
      <c r="KQ4" s="202"/>
      <c r="KR4" s="203"/>
      <c r="KS4" s="201"/>
      <c r="KT4" s="202"/>
      <c r="KU4" s="203"/>
      <c r="KV4" s="201"/>
      <c r="KW4" s="202"/>
      <c r="KX4" s="203"/>
      <c r="KY4" s="201"/>
      <c r="KZ4" s="202"/>
      <c r="LA4" s="203"/>
      <c r="LB4" s="201"/>
      <c r="LC4" s="202"/>
      <c r="LD4" s="203"/>
      <c r="LE4" s="201"/>
      <c r="LF4" s="202"/>
      <c r="LG4" s="203"/>
      <c r="LH4" s="201"/>
      <c r="LI4" s="202"/>
      <c r="LJ4" s="203"/>
      <c r="LK4" s="201"/>
      <c r="LL4" s="202"/>
      <c r="LM4" s="203"/>
      <c r="LN4" s="201"/>
      <c r="LO4" s="202"/>
      <c r="LP4" s="203"/>
      <c r="LQ4" s="201"/>
      <c r="LR4" s="202"/>
      <c r="LS4" s="203"/>
      <c r="LT4" s="201"/>
      <c r="LU4" s="202"/>
      <c r="LV4" s="203"/>
      <c r="LW4" s="201"/>
      <c r="LX4" s="202"/>
      <c r="LY4" s="203"/>
      <c r="LZ4" s="201"/>
      <c r="MA4" s="202"/>
      <c r="MB4" s="203"/>
      <c r="MC4" s="201"/>
      <c r="MD4" s="202"/>
      <c r="ME4" s="203"/>
      <c r="MF4" s="201"/>
      <c r="MG4" s="202"/>
      <c r="MH4" s="203"/>
      <c r="MI4" s="201"/>
      <c r="MJ4" s="202"/>
      <c r="MK4" s="203"/>
      <c r="ML4" s="201"/>
      <c r="MM4" s="202"/>
      <c r="MN4" s="203"/>
      <c r="MO4" s="201"/>
      <c r="MP4" s="202"/>
      <c r="MQ4" s="203"/>
      <c r="MR4" s="201"/>
      <c r="MS4" s="202"/>
      <c r="MT4" s="203"/>
      <c r="MU4" s="201"/>
      <c r="MV4" s="202"/>
      <c r="MW4" s="203"/>
      <c r="MX4" s="201"/>
      <c r="MY4" s="204"/>
      <c r="MZ4" s="200"/>
      <c r="NA4" s="201"/>
      <c r="NB4" s="202"/>
      <c r="NC4" s="203"/>
      <c r="ND4" s="201"/>
      <c r="NE4" s="202"/>
      <c r="NF4" s="203"/>
      <c r="NG4" s="201"/>
      <c r="NH4" s="202"/>
      <c r="NI4" s="203"/>
      <c r="NJ4" s="201"/>
      <c r="NK4" s="202"/>
      <c r="NL4" s="203"/>
      <c r="NM4" s="201"/>
      <c r="NN4" s="202"/>
      <c r="NO4" s="203"/>
      <c r="NP4" s="201"/>
      <c r="NQ4" s="202"/>
      <c r="NR4" s="203"/>
      <c r="NS4" s="201"/>
      <c r="NT4" s="202"/>
      <c r="NU4" s="203"/>
      <c r="NV4" s="201"/>
      <c r="NW4" s="202"/>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203"/>
      <c r="UW4" s="201"/>
      <c r="UX4" s="202"/>
      <c r="UY4" s="203"/>
      <c r="UZ4" s="201"/>
      <c r="VA4" s="202"/>
      <c r="VB4" s="203"/>
      <c r="VC4" s="201"/>
      <c r="VD4" s="202"/>
      <c r="VE4" s="203"/>
      <c r="VF4" s="201"/>
      <c r="VG4" s="202"/>
      <c r="VH4" s="203"/>
      <c r="VI4" s="201"/>
      <c r="VJ4" s="202"/>
      <c r="VK4" s="203"/>
      <c r="VL4" s="201"/>
      <c r="VM4" s="202"/>
      <c r="VN4" s="203"/>
      <c r="VO4" s="201"/>
      <c r="VP4" s="202"/>
      <c r="VQ4" s="203"/>
      <c r="VR4" s="201"/>
      <c r="VS4" s="202"/>
      <c r="VT4" s="203"/>
      <c r="VU4" s="201"/>
      <c r="VV4" s="202"/>
      <c r="VW4" s="104"/>
      <c r="VX4" s="102"/>
      <c r="VY4" s="103"/>
      <c r="VZ4" s="104"/>
      <c r="WA4" s="102"/>
      <c r="WB4" s="103"/>
      <c r="WC4" s="104"/>
      <c r="WD4" s="102"/>
      <c r="WE4" s="103"/>
      <c r="WF4" s="104"/>
      <c r="WG4" s="102"/>
      <c r="WH4" s="103"/>
      <c r="WI4" s="203"/>
      <c r="WJ4" s="201"/>
      <c r="WK4" s="202"/>
      <c r="WL4" s="203"/>
      <c r="WM4" s="201"/>
      <c r="WN4" s="202"/>
      <c r="WO4" s="203"/>
      <c r="WP4" s="201"/>
      <c r="WQ4" s="202"/>
      <c r="WR4" s="203"/>
      <c r="WS4" s="201"/>
      <c r="WT4" s="202"/>
      <c r="WU4" s="203"/>
      <c r="WV4" s="201"/>
      <c r="WW4" s="202"/>
      <c r="WX4" s="203"/>
      <c r="WY4" s="201"/>
      <c r="WZ4" s="202"/>
      <c r="XA4" s="203"/>
      <c r="XB4" s="201"/>
      <c r="XC4" s="202"/>
      <c r="XD4" s="203"/>
      <c r="XE4" s="201"/>
      <c r="XF4" s="202"/>
      <c r="XG4" s="203"/>
      <c r="XH4" s="201"/>
      <c r="XI4" s="204"/>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103"/>
      <c r="YZ4" s="104"/>
      <c r="ZA4" s="102"/>
      <c r="ZB4" s="103"/>
      <c r="ZC4" s="104"/>
      <c r="ZD4" s="102"/>
      <c r="ZE4" s="103"/>
      <c r="ZF4" s="104"/>
      <c r="ZG4" s="102"/>
      <c r="ZH4" s="103"/>
      <c r="ZI4" s="203"/>
      <c r="ZJ4" s="102"/>
      <c r="ZK4" s="103"/>
      <c r="ZL4" s="104"/>
      <c r="ZM4" s="102"/>
      <c r="ZN4" s="103"/>
      <c r="ZO4" s="104"/>
      <c r="ZP4" s="102"/>
      <c r="ZQ4" s="103"/>
      <c r="ZR4" s="104"/>
      <c r="ZS4" s="102"/>
      <c r="ZT4" s="103"/>
      <c r="ZU4" s="104"/>
      <c r="ZV4" s="102"/>
      <c r="ZW4" s="103"/>
      <c r="ZX4" s="104"/>
      <c r="ZY4" s="102"/>
      <c r="ZZ4" s="103"/>
      <c r="AAA4" s="104"/>
      <c r="AAB4" s="102"/>
      <c r="AAC4" s="103"/>
      <c r="AAD4" s="104"/>
      <c r="AAE4" s="102"/>
      <c r="AAF4" s="103"/>
      <c r="AAG4" s="104"/>
      <c r="AAH4" s="102"/>
      <c r="AAI4" s="103"/>
      <c r="AAJ4" s="104"/>
      <c r="AAK4" s="102"/>
      <c r="AAL4" s="103"/>
      <c r="AAM4" s="104"/>
      <c r="AAN4" s="102"/>
      <c r="AAO4" s="103"/>
      <c r="AAP4" s="104"/>
      <c r="AAQ4" s="102"/>
      <c r="AAR4" s="103"/>
      <c r="AAS4" s="104"/>
      <c r="AAT4" s="102"/>
      <c r="AAU4" s="105"/>
      <c r="AAV4" s="200"/>
      <c r="AAW4" s="201"/>
      <c r="AAX4" s="202"/>
      <c r="AAY4" s="203"/>
      <c r="AAZ4" s="201"/>
      <c r="ABA4" s="202"/>
      <c r="ABB4" s="203"/>
      <c r="ABC4" s="201"/>
      <c r="ABD4" s="202"/>
      <c r="ABE4" s="203"/>
      <c r="ABF4" s="201"/>
      <c r="ABG4" s="202"/>
      <c r="ABH4" s="203"/>
      <c r="ABI4" s="201"/>
      <c r="ABJ4" s="202"/>
      <c r="ABK4" s="203"/>
      <c r="ABL4" s="201"/>
      <c r="ABM4" s="202"/>
      <c r="ABN4" s="203"/>
      <c r="ABO4" s="201"/>
      <c r="ABP4" s="202"/>
      <c r="ABQ4" s="203"/>
      <c r="ABR4" s="201"/>
      <c r="ABS4" s="202"/>
      <c r="ABT4" s="203"/>
      <c r="ABU4" s="201"/>
      <c r="ABV4" s="202"/>
      <c r="ABW4" s="203"/>
      <c r="ABX4" s="201"/>
      <c r="ABY4" s="202"/>
      <c r="ABZ4" s="203"/>
      <c r="ACA4" s="201"/>
      <c r="ACB4" s="202"/>
      <c r="ACC4" s="203"/>
      <c r="ACD4" s="201"/>
      <c r="ACE4" s="202"/>
      <c r="ACF4" s="203"/>
      <c r="ACG4" s="201"/>
      <c r="ACH4" s="202"/>
      <c r="ACI4" s="203"/>
      <c r="ACJ4" s="201"/>
      <c r="ACK4" s="202"/>
      <c r="ACL4" s="203"/>
      <c r="ACM4" s="201"/>
      <c r="ACN4" s="202"/>
      <c r="ACO4" s="203"/>
      <c r="ACP4" s="201"/>
      <c r="ACQ4" s="202"/>
      <c r="ACR4" s="203"/>
      <c r="ACS4" s="201"/>
      <c r="ACT4" s="202"/>
      <c r="ACU4" s="203"/>
      <c r="ACV4" s="201"/>
      <c r="ACW4" s="202"/>
      <c r="ACX4" s="203"/>
      <c r="ACY4" s="201"/>
      <c r="ACZ4" s="202"/>
      <c r="ADA4" s="203"/>
      <c r="ADB4" s="201"/>
      <c r="ADC4" s="202"/>
      <c r="ADD4" s="203"/>
      <c r="ADE4" s="201"/>
      <c r="ADF4" s="202"/>
      <c r="ADG4" s="203"/>
      <c r="ADH4" s="201"/>
      <c r="ADI4" s="202"/>
      <c r="ADJ4" s="203"/>
      <c r="ADK4" s="201"/>
      <c r="ADL4" s="202"/>
      <c r="ADM4" s="203"/>
      <c r="ADN4" s="201"/>
      <c r="ADO4" s="202"/>
      <c r="ADP4" s="203"/>
      <c r="ADQ4" s="201"/>
      <c r="ADR4" s="202"/>
      <c r="ADS4" s="203"/>
      <c r="ADT4" s="201"/>
      <c r="ADU4" s="202"/>
      <c r="ADV4" s="203"/>
      <c r="ADW4" s="201"/>
      <c r="ADX4" s="202"/>
      <c r="ADY4" s="203"/>
      <c r="ADZ4" s="201"/>
      <c r="AEA4" s="202"/>
      <c r="AEB4" s="203"/>
      <c r="AEC4" s="201"/>
      <c r="AED4" s="202"/>
      <c r="AEE4" s="203"/>
      <c r="AEF4" s="201"/>
      <c r="AEG4" s="204"/>
    </row>
    <row r="5" spans="1:813" ht="19.5" customHeight="1" x14ac:dyDescent="0.25">
      <c r="B5" s="226" t="str">
        <f>Donnees!$C$21</f>
        <v>Rédaction JNLTRAV</v>
      </c>
      <c r="C5" s="106">
        <v>59</v>
      </c>
      <c r="D5" s="95"/>
      <c r="E5" s="96"/>
      <c r="F5" s="97"/>
      <c r="G5" s="98"/>
      <c r="H5" s="96"/>
      <c r="I5" s="97"/>
      <c r="J5" s="98"/>
      <c r="K5" s="96"/>
      <c r="L5" s="97"/>
      <c r="M5" s="98"/>
      <c r="N5" s="96"/>
      <c r="O5" s="97"/>
      <c r="P5" s="98"/>
      <c r="Q5" s="96"/>
      <c r="R5" s="97"/>
      <c r="S5" s="98"/>
      <c r="T5" s="96"/>
      <c r="U5" s="97"/>
      <c r="V5" s="149"/>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49"/>
      <c r="BD5" s="96"/>
      <c r="BE5" s="97"/>
      <c r="BF5" s="98"/>
      <c r="BG5" s="96"/>
      <c r="BH5" s="97"/>
      <c r="BI5" s="98"/>
      <c r="BJ5" s="96"/>
      <c r="BK5" s="97"/>
      <c r="BL5" s="98"/>
      <c r="BM5" s="96"/>
      <c r="BN5" s="97"/>
      <c r="BO5" s="149"/>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49"/>
      <c r="CW5" s="147"/>
      <c r="CX5" s="97"/>
      <c r="CY5" s="98"/>
      <c r="CZ5" s="96"/>
      <c r="DA5" s="97"/>
      <c r="DB5" s="98"/>
      <c r="DC5" s="96"/>
      <c r="DD5" s="97"/>
      <c r="DE5" s="98"/>
      <c r="DF5" s="96"/>
      <c r="DG5" s="97"/>
      <c r="DH5" s="98"/>
      <c r="DI5" s="96"/>
      <c r="DJ5" s="97"/>
      <c r="DK5" s="98"/>
      <c r="DL5" s="96"/>
      <c r="DM5" s="97"/>
      <c r="DN5" s="149"/>
      <c r="DO5" s="147"/>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49"/>
      <c r="EP5" s="147"/>
      <c r="EQ5" s="97"/>
      <c r="ER5" s="98"/>
      <c r="ES5" s="96"/>
      <c r="ET5" s="97"/>
      <c r="EU5" s="98"/>
      <c r="EV5" s="96"/>
      <c r="EW5" s="97"/>
      <c r="EX5" s="98"/>
      <c r="EY5" s="96"/>
      <c r="EZ5" s="97"/>
      <c r="FA5" s="149"/>
      <c r="FB5" s="147"/>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46"/>
      <c r="GC5" s="147"/>
      <c r="GD5" s="97"/>
      <c r="GE5" s="98"/>
      <c r="GF5" s="96"/>
      <c r="GG5" s="97"/>
      <c r="GH5" s="98"/>
      <c r="GI5" s="96"/>
      <c r="GJ5" s="97"/>
      <c r="GK5" s="98"/>
      <c r="GL5" s="96"/>
      <c r="GM5" s="97"/>
      <c r="GN5" s="98"/>
      <c r="GO5" s="96"/>
      <c r="GP5" s="97"/>
      <c r="GQ5" s="98"/>
      <c r="GR5" s="96"/>
      <c r="GS5" s="97"/>
      <c r="GT5" s="98"/>
      <c r="GU5" s="96"/>
      <c r="GV5" s="97"/>
      <c r="GW5" s="98"/>
      <c r="GX5" s="96"/>
      <c r="GY5" s="97"/>
      <c r="GZ5" s="149"/>
      <c r="HA5" s="147"/>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49"/>
      <c r="IB5" s="147"/>
      <c r="IC5" s="97"/>
      <c r="ID5" s="98"/>
      <c r="IE5" s="96"/>
      <c r="IF5" s="97"/>
      <c r="IG5" s="98"/>
      <c r="IH5" s="96"/>
      <c r="II5" s="97"/>
      <c r="IJ5" s="98"/>
      <c r="IK5" s="96"/>
      <c r="IL5" s="97"/>
      <c r="IM5" s="149"/>
      <c r="IN5" s="147"/>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46"/>
      <c r="NA5" s="147"/>
      <c r="NB5" s="97"/>
      <c r="NC5" s="98"/>
      <c r="ND5" s="96"/>
      <c r="NE5" s="97"/>
      <c r="NF5" s="98"/>
      <c r="NG5" s="96"/>
      <c r="NH5" s="97"/>
      <c r="NI5" s="98"/>
      <c r="NJ5" s="96"/>
      <c r="NK5" s="97"/>
      <c r="NL5" s="98"/>
      <c r="NM5" s="96"/>
      <c r="NN5" s="97"/>
      <c r="NO5" s="98"/>
      <c r="NP5" s="96"/>
      <c r="NQ5" s="97"/>
      <c r="NR5" s="98"/>
      <c r="NS5" s="96"/>
      <c r="NT5" s="97"/>
      <c r="NU5" s="98"/>
      <c r="NV5" s="96"/>
      <c r="NW5" s="97"/>
      <c r="NX5" s="149"/>
      <c r="NY5" s="147"/>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49"/>
      <c r="OZ5" s="147"/>
      <c r="PA5" s="97"/>
      <c r="PB5" s="98"/>
      <c r="PC5" s="96"/>
      <c r="PD5" s="97"/>
      <c r="PE5" s="98"/>
      <c r="PF5" s="96"/>
      <c r="PG5" s="97"/>
      <c r="PH5" s="98"/>
      <c r="PI5" s="96"/>
      <c r="PJ5" s="97"/>
      <c r="PK5" s="149"/>
      <c r="PL5" s="147"/>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46"/>
      <c r="QM5" s="147"/>
      <c r="QN5" s="97"/>
      <c r="QO5" s="98"/>
      <c r="QP5" s="96"/>
      <c r="QQ5" s="97"/>
      <c r="QR5" s="98"/>
      <c r="QS5" s="96"/>
      <c r="QT5" s="97"/>
      <c r="QU5" s="98"/>
      <c r="QV5" s="96"/>
      <c r="QW5" s="97"/>
      <c r="QX5" s="98"/>
      <c r="QY5" s="96"/>
      <c r="QZ5" s="97"/>
      <c r="RA5" s="98"/>
      <c r="RB5" s="96"/>
      <c r="RC5" s="97"/>
      <c r="RD5" s="98"/>
      <c r="RE5" s="96"/>
      <c r="RF5" s="97"/>
      <c r="RG5" s="98"/>
      <c r="RH5" s="96"/>
      <c r="RI5" s="97"/>
      <c r="RJ5" s="149"/>
      <c r="RK5" s="147"/>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49"/>
      <c r="SL5" s="147"/>
      <c r="SM5" s="97"/>
      <c r="SN5" s="98"/>
      <c r="SO5" s="96"/>
      <c r="SP5" s="97"/>
      <c r="SQ5" s="98"/>
      <c r="SR5" s="96"/>
      <c r="SS5" s="97"/>
      <c r="ST5" s="98"/>
      <c r="SU5" s="96"/>
      <c r="SV5" s="97"/>
      <c r="SW5" s="149"/>
      <c r="SX5" s="147"/>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46"/>
      <c r="TY5" s="147"/>
      <c r="TZ5" s="97"/>
      <c r="UA5" s="98"/>
      <c r="UB5" s="96"/>
      <c r="UC5" s="97"/>
      <c r="UD5" s="98"/>
      <c r="UE5" s="96"/>
      <c r="UF5" s="97"/>
      <c r="UG5" s="98"/>
      <c r="UH5" s="96"/>
      <c r="UI5" s="97"/>
      <c r="UJ5" s="98"/>
      <c r="UK5" s="96"/>
      <c r="UL5" s="97"/>
      <c r="UM5" s="98"/>
      <c r="UN5" s="96"/>
      <c r="UO5" s="97"/>
      <c r="UP5" s="98"/>
      <c r="UQ5" s="96"/>
      <c r="UR5" s="97"/>
      <c r="US5" s="98"/>
      <c r="UT5" s="96"/>
      <c r="UU5" s="97"/>
      <c r="UV5" s="149"/>
      <c r="UW5" s="147"/>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49"/>
      <c r="VX5" s="147"/>
      <c r="VY5" s="97"/>
      <c r="VZ5" s="98"/>
      <c r="WA5" s="96"/>
      <c r="WB5" s="97"/>
      <c r="WC5" s="98"/>
      <c r="WD5" s="96"/>
      <c r="WE5" s="97"/>
      <c r="WF5" s="98"/>
      <c r="WG5" s="96"/>
      <c r="WH5" s="97"/>
      <c r="WI5" s="149"/>
      <c r="WJ5" s="147"/>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46"/>
      <c r="XK5" s="147"/>
      <c r="XL5" s="97"/>
      <c r="XM5" s="98"/>
      <c r="XN5" s="96"/>
      <c r="XO5" s="97"/>
      <c r="XP5" s="98"/>
      <c r="XQ5" s="96"/>
      <c r="XR5" s="97"/>
      <c r="XS5" s="98"/>
      <c r="XT5" s="96"/>
      <c r="XU5" s="97"/>
      <c r="XV5" s="98"/>
      <c r="XW5" s="96"/>
      <c r="XX5" s="97"/>
      <c r="XY5" s="98"/>
      <c r="XZ5" s="96"/>
      <c r="YA5" s="97"/>
      <c r="YB5" s="98"/>
      <c r="YC5" s="96"/>
      <c r="YD5" s="97"/>
      <c r="YE5" s="98"/>
      <c r="YF5" s="96"/>
      <c r="YG5" s="97"/>
      <c r="YH5" s="149"/>
      <c r="YI5" s="147"/>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49"/>
      <c r="ZJ5" s="147"/>
      <c r="ZK5" s="97"/>
      <c r="ZL5" s="98"/>
      <c r="ZM5" s="96"/>
      <c r="ZN5" s="97"/>
      <c r="ZO5" s="98"/>
      <c r="ZP5" s="96"/>
      <c r="ZQ5" s="97"/>
      <c r="ZR5" s="98"/>
      <c r="ZS5" s="96"/>
      <c r="ZT5" s="97"/>
      <c r="ZU5" s="149"/>
      <c r="ZV5" s="147"/>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46"/>
      <c r="AAW5" s="147"/>
      <c r="AAX5" s="97"/>
      <c r="AAY5" s="98"/>
      <c r="AAZ5" s="96"/>
      <c r="ABA5" s="97"/>
      <c r="ABB5" s="98"/>
      <c r="ABC5" s="96"/>
      <c r="ABD5" s="97"/>
      <c r="ABE5" s="98"/>
      <c r="ABF5" s="96"/>
      <c r="ABG5" s="97"/>
      <c r="ABH5" s="98"/>
      <c r="ABI5" s="96"/>
      <c r="ABJ5" s="97"/>
      <c r="ABK5" s="98"/>
      <c r="ABL5" s="96"/>
      <c r="ABM5" s="97"/>
      <c r="ABN5" s="98"/>
      <c r="ABO5" s="96"/>
      <c r="ABP5" s="97"/>
      <c r="ABQ5" s="98"/>
      <c r="ABR5" s="96"/>
      <c r="ABS5" s="97"/>
      <c r="ABT5" s="149"/>
      <c r="ABU5" s="147"/>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49"/>
      <c r="ACV5" s="147"/>
      <c r="ACW5" s="97"/>
      <c r="ACX5" s="98"/>
      <c r="ACY5" s="96"/>
      <c r="ACZ5" s="97"/>
      <c r="ADA5" s="98"/>
      <c r="ADB5" s="96"/>
      <c r="ADC5" s="97"/>
      <c r="ADD5" s="98"/>
      <c r="ADE5" s="96"/>
      <c r="ADF5" s="97"/>
      <c r="ADG5" s="149"/>
      <c r="ADH5" s="147"/>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20"/>
      <c r="C6" s="107">
        <v>25</v>
      </c>
      <c r="D6" s="101"/>
      <c r="E6" s="102"/>
      <c r="F6" s="103"/>
      <c r="G6" s="104"/>
      <c r="H6" s="102"/>
      <c r="I6" s="103"/>
      <c r="J6" s="104"/>
      <c r="K6" s="102"/>
      <c r="L6" s="103"/>
      <c r="M6" s="104"/>
      <c r="N6" s="102"/>
      <c r="O6" s="103"/>
      <c r="P6" s="104"/>
      <c r="Q6" s="102"/>
      <c r="R6" s="103"/>
      <c r="S6" s="104"/>
      <c r="T6" s="102"/>
      <c r="U6" s="103"/>
      <c r="V6" s="203"/>
      <c r="W6" s="102"/>
      <c r="X6" s="103"/>
      <c r="Y6" s="104"/>
      <c r="Z6" s="102"/>
      <c r="AA6" s="103"/>
      <c r="AB6" s="104"/>
      <c r="AC6" s="102"/>
      <c r="AD6" s="103"/>
      <c r="AE6" s="104"/>
      <c r="AF6" s="102"/>
      <c r="AG6" s="103"/>
      <c r="AH6" s="104"/>
      <c r="AI6" s="102"/>
      <c r="AJ6" s="103"/>
      <c r="AK6" s="104"/>
      <c r="AL6" s="201"/>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201"/>
      <c r="DM6" s="202"/>
      <c r="DN6" s="104"/>
      <c r="DO6" s="102"/>
      <c r="DP6" s="103"/>
      <c r="DQ6" s="104"/>
      <c r="DR6" s="102"/>
      <c r="DS6" s="103"/>
      <c r="DT6" s="104"/>
      <c r="DU6" s="102"/>
      <c r="DV6" s="103"/>
      <c r="DW6" s="104"/>
      <c r="DX6" s="102"/>
      <c r="DY6" s="103"/>
      <c r="DZ6" s="104"/>
      <c r="EA6" s="102"/>
      <c r="EB6" s="103"/>
      <c r="EC6" s="104"/>
      <c r="ED6" s="102"/>
      <c r="EE6" s="103"/>
      <c r="EF6" s="104"/>
      <c r="EG6" s="102"/>
      <c r="EH6" s="103"/>
      <c r="EI6" s="104"/>
      <c r="EJ6" s="201"/>
      <c r="EK6" s="103"/>
      <c r="EL6" s="104"/>
      <c r="EM6" s="102"/>
      <c r="EN6" s="103"/>
      <c r="EO6" s="104"/>
      <c r="EP6" s="102"/>
      <c r="EQ6" s="103"/>
      <c r="ER6" s="104"/>
      <c r="ES6" s="102"/>
      <c r="ET6" s="103"/>
      <c r="EU6" s="104"/>
      <c r="EV6" s="102"/>
      <c r="EW6" s="103"/>
      <c r="EX6" s="104"/>
      <c r="EY6" s="102"/>
      <c r="EZ6" s="202"/>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204"/>
      <c r="GB6" s="101"/>
      <c r="GC6" s="102"/>
      <c r="GD6" s="103"/>
      <c r="GE6" s="104"/>
      <c r="GF6" s="102"/>
      <c r="GG6" s="103"/>
      <c r="GH6" s="104"/>
      <c r="GI6" s="102"/>
      <c r="GJ6" s="103"/>
      <c r="GK6" s="104"/>
      <c r="GL6" s="102"/>
      <c r="GM6" s="103"/>
      <c r="GN6" s="104"/>
      <c r="GO6" s="102"/>
      <c r="GP6" s="103"/>
      <c r="GQ6" s="104"/>
      <c r="GR6" s="102"/>
      <c r="GS6" s="103"/>
      <c r="GT6" s="104"/>
      <c r="GU6" s="102"/>
      <c r="GV6" s="103"/>
      <c r="GW6" s="203"/>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202"/>
      <c r="IA6" s="104"/>
      <c r="IB6" s="102"/>
      <c r="IC6" s="103"/>
      <c r="ID6" s="104"/>
      <c r="IE6" s="102"/>
      <c r="IF6" s="103"/>
      <c r="IG6" s="104"/>
      <c r="IH6" s="102"/>
      <c r="II6" s="103"/>
      <c r="IJ6" s="104"/>
      <c r="IK6" s="102"/>
      <c r="IL6" s="202"/>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201"/>
      <c r="JM6" s="204"/>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202"/>
      <c r="OY6" s="104"/>
      <c r="OZ6" s="102"/>
      <c r="PA6" s="103"/>
      <c r="PB6" s="104"/>
      <c r="PC6" s="102"/>
      <c r="PD6" s="103"/>
      <c r="PE6" s="104"/>
      <c r="PF6" s="102"/>
      <c r="PG6" s="103"/>
      <c r="PH6" s="104"/>
      <c r="PI6" s="102"/>
      <c r="PJ6" s="202"/>
      <c r="PK6" s="104"/>
      <c r="PL6" s="102"/>
      <c r="PM6" s="103"/>
      <c r="PN6" s="104"/>
      <c r="PO6" s="102"/>
      <c r="PP6" s="103"/>
      <c r="PQ6" s="104"/>
      <c r="PR6" s="102"/>
      <c r="PS6" s="103"/>
      <c r="PT6" s="104"/>
      <c r="PU6" s="102"/>
      <c r="PV6" s="103"/>
      <c r="PW6" s="104"/>
      <c r="PX6" s="102"/>
      <c r="PY6" s="103"/>
      <c r="PZ6" s="203"/>
      <c r="QA6" s="102"/>
      <c r="QB6" s="103"/>
      <c r="QC6" s="104"/>
      <c r="QD6" s="102"/>
      <c r="QE6" s="103"/>
      <c r="QF6" s="104"/>
      <c r="QG6" s="102"/>
      <c r="QH6" s="103"/>
      <c r="QI6" s="104"/>
      <c r="QJ6" s="102"/>
      <c r="QK6" s="105"/>
      <c r="QL6" s="101"/>
      <c r="QM6" s="102"/>
      <c r="QN6" s="103"/>
      <c r="QO6" s="104"/>
      <c r="QP6" s="102"/>
      <c r="QQ6" s="103"/>
      <c r="QR6" s="104"/>
      <c r="QS6" s="102"/>
      <c r="QT6" s="103"/>
      <c r="QU6" s="104"/>
      <c r="QV6" s="102"/>
      <c r="QW6" s="202"/>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04"/>
      <c r="RZ6" s="102"/>
      <c r="SA6" s="103"/>
      <c r="SB6" s="104"/>
      <c r="SC6" s="102"/>
      <c r="SD6" s="103"/>
      <c r="SE6" s="104"/>
      <c r="SF6" s="102"/>
      <c r="SG6" s="103"/>
      <c r="SH6" s="104"/>
      <c r="SI6" s="102"/>
      <c r="SJ6" s="202"/>
      <c r="SK6" s="104"/>
      <c r="SL6" s="102"/>
      <c r="SM6" s="103"/>
      <c r="SN6" s="104"/>
      <c r="SO6" s="102"/>
      <c r="SP6" s="103"/>
      <c r="SQ6" s="104"/>
      <c r="SR6" s="102"/>
      <c r="SS6" s="103"/>
      <c r="ST6" s="104"/>
      <c r="SU6" s="102"/>
      <c r="SV6" s="202"/>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204"/>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202"/>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202"/>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202"/>
      <c r="YH6" s="104"/>
      <c r="YI6" s="102"/>
      <c r="YJ6" s="103"/>
      <c r="YK6" s="104"/>
      <c r="YL6" s="102"/>
      <c r="YM6" s="103"/>
      <c r="YN6" s="104"/>
      <c r="YO6" s="102"/>
      <c r="YP6" s="103"/>
      <c r="YQ6" s="104"/>
      <c r="YR6" s="102"/>
      <c r="YS6" s="103"/>
      <c r="YT6" s="104"/>
      <c r="YU6" s="102"/>
      <c r="YV6" s="202"/>
      <c r="YW6" s="104"/>
      <c r="YX6" s="102"/>
      <c r="YY6" s="103"/>
      <c r="YZ6" s="104"/>
      <c r="ZA6" s="102"/>
      <c r="ZB6" s="103"/>
      <c r="ZC6" s="104"/>
      <c r="ZD6" s="102"/>
      <c r="ZE6" s="103"/>
      <c r="ZF6" s="104"/>
      <c r="ZG6" s="102"/>
      <c r="ZH6" s="103"/>
      <c r="ZI6" s="104"/>
      <c r="ZJ6" s="102"/>
      <c r="ZK6" s="103"/>
      <c r="ZL6" s="104"/>
      <c r="ZM6" s="102"/>
      <c r="ZN6" s="202"/>
      <c r="ZO6" s="104"/>
      <c r="ZP6" s="102"/>
      <c r="ZQ6" s="103"/>
      <c r="ZR6" s="104"/>
      <c r="ZS6" s="102"/>
      <c r="ZT6" s="103"/>
      <c r="ZU6" s="104"/>
      <c r="ZV6" s="102"/>
      <c r="ZW6" s="103"/>
      <c r="ZX6" s="104"/>
      <c r="ZY6" s="102"/>
      <c r="ZZ6" s="103"/>
      <c r="AAA6" s="104"/>
      <c r="AAB6" s="102"/>
      <c r="AAC6" s="103"/>
      <c r="AAD6" s="104"/>
      <c r="AAE6" s="102"/>
      <c r="AAF6" s="103"/>
      <c r="AAG6" s="104"/>
      <c r="AAH6" s="102"/>
      <c r="AAI6" s="202"/>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19"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48"/>
      <c r="AZ7" s="149"/>
      <c r="BA7" s="147"/>
      <c r="BB7" s="148"/>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48"/>
      <c r="CY7" s="149"/>
      <c r="CZ7" s="147"/>
      <c r="DA7" s="148"/>
      <c r="DB7" s="149"/>
      <c r="DC7" s="147"/>
      <c r="DD7" s="97"/>
      <c r="DE7" s="98"/>
      <c r="DF7" s="96"/>
      <c r="DG7" s="97"/>
      <c r="DH7" s="98"/>
      <c r="DI7" s="96"/>
      <c r="DJ7" s="97"/>
      <c r="DK7" s="98"/>
      <c r="DL7" s="96"/>
      <c r="DM7" s="97"/>
      <c r="DN7" s="98"/>
      <c r="DO7" s="96"/>
      <c r="DP7" s="148"/>
      <c r="DQ7" s="149"/>
      <c r="DR7" s="147"/>
      <c r="DS7" s="97"/>
      <c r="DT7" s="98"/>
      <c r="DU7" s="96"/>
      <c r="DV7" s="97"/>
      <c r="DW7" s="98"/>
      <c r="DX7" s="96"/>
      <c r="DY7" s="97"/>
      <c r="DZ7" s="98"/>
      <c r="EA7" s="96"/>
      <c r="EB7" s="97"/>
      <c r="EC7" s="98"/>
      <c r="ED7" s="96"/>
      <c r="EE7" s="97"/>
      <c r="EF7" s="98"/>
      <c r="EG7" s="96"/>
      <c r="EH7" s="97"/>
      <c r="EI7" s="98"/>
      <c r="EJ7" s="96"/>
      <c r="EK7" s="97"/>
      <c r="EL7" s="98"/>
      <c r="EM7" s="96"/>
      <c r="EN7" s="97"/>
      <c r="EO7" s="98"/>
      <c r="EP7" s="96"/>
      <c r="EQ7" s="148"/>
      <c r="ER7" s="149"/>
      <c r="ES7" s="147"/>
      <c r="ET7" s="97"/>
      <c r="EU7" s="98"/>
      <c r="EV7" s="96"/>
      <c r="EW7" s="97"/>
      <c r="EX7" s="98"/>
      <c r="EY7" s="96"/>
      <c r="EZ7" s="97"/>
      <c r="FA7" s="98"/>
      <c r="FB7" s="96"/>
      <c r="FC7" s="148"/>
      <c r="FD7" s="149"/>
      <c r="FE7" s="147"/>
      <c r="FF7" s="97"/>
      <c r="FG7" s="98"/>
      <c r="FH7" s="96"/>
      <c r="FI7" s="97"/>
      <c r="FJ7" s="98"/>
      <c r="FK7" s="96"/>
      <c r="FL7" s="97"/>
      <c r="FM7" s="98"/>
      <c r="FN7" s="96"/>
      <c r="FO7" s="97"/>
      <c r="FP7" s="98"/>
      <c r="FQ7" s="96"/>
      <c r="FR7" s="97"/>
      <c r="FS7" s="98"/>
      <c r="FT7" s="96"/>
      <c r="FU7" s="97"/>
      <c r="FV7" s="98"/>
      <c r="FW7" s="96"/>
      <c r="FX7" s="97"/>
      <c r="FY7" s="98"/>
      <c r="FZ7" s="96"/>
      <c r="GA7" s="99"/>
      <c r="GB7" s="95"/>
      <c r="GC7" s="96"/>
      <c r="GD7" s="148"/>
      <c r="GE7" s="149"/>
      <c r="GF7" s="147"/>
      <c r="GG7" s="97"/>
      <c r="GH7" s="98"/>
      <c r="GI7" s="96"/>
      <c r="GJ7" s="97"/>
      <c r="GK7" s="98"/>
      <c r="GL7" s="96"/>
      <c r="GM7" s="97"/>
      <c r="GN7" s="98"/>
      <c r="GO7" s="96"/>
      <c r="GP7" s="97"/>
      <c r="GQ7" s="98"/>
      <c r="GR7" s="96"/>
      <c r="GS7" s="97"/>
      <c r="GT7" s="98"/>
      <c r="GU7" s="96"/>
      <c r="GV7" s="97"/>
      <c r="GW7" s="98"/>
      <c r="GX7" s="96"/>
      <c r="GY7" s="97"/>
      <c r="GZ7" s="98"/>
      <c r="HA7" s="96"/>
      <c r="HB7" s="148"/>
      <c r="HC7" s="149"/>
      <c r="HD7" s="147"/>
      <c r="HE7" s="97"/>
      <c r="HF7" s="98"/>
      <c r="HG7" s="96"/>
      <c r="HH7" s="97"/>
      <c r="HI7" s="98"/>
      <c r="HJ7" s="96"/>
      <c r="HK7" s="97"/>
      <c r="HL7" s="98"/>
      <c r="HM7" s="96"/>
      <c r="HN7" s="97"/>
      <c r="HO7" s="98"/>
      <c r="HP7" s="96"/>
      <c r="HQ7" s="97"/>
      <c r="HR7" s="98"/>
      <c r="HS7" s="96"/>
      <c r="HT7" s="97"/>
      <c r="HU7" s="98"/>
      <c r="HV7" s="96"/>
      <c r="HW7" s="97"/>
      <c r="HX7" s="98"/>
      <c r="HY7" s="96"/>
      <c r="HZ7" s="97"/>
      <c r="IA7" s="98"/>
      <c r="IB7" s="96"/>
      <c r="IC7" s="148"/>
      <c r="ID7" s="149"/>
      <c r="IE7" s="147"/>
      <c r="IF7" s="97"/>
      <c r="IG7" s="98"/>
      <c r="IH7" s="96"/>
      <c r="II7" s="97"/>
      <c r="IJ7" s="98"/>
      <c r="IK7" s="96"/>
      <c r="IL7" s="97"/>
      <c r="IM7" s="98"/>
      <c r="IN7" s="96"/>
      <c r="IO7" s="148"/>
      <c r="IP7" s="149"/>
      <c r="IQ7" s="147"/>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48"/>
      <c r="NC7" s="149"/>
      <c r="ND7" s="147"/>
      <c r="NE7" s="97"/>
      <c r="NF7" s="98"/>
      <c r="NG7" s="96"/>
      <c r="NH7" s="97"/>
      <c r="NI7" s="98"/>
      <c r="NJ7" s="96"/>
      <c r="NK7" s="97"/>
      <c r="NL7" s="98"/>
      <c r="NM7" s="96"/>
      <c r="NN7" s="97"/>
      <c r="NO7" s="98"/>
      <c r="NP7" s="96"/>
      <c r="NQ7" s="97"/>
      <c r="NR7" s="98"/>
      <c r="NS7" s="96"/>
      <c r="NT7" s="97"/>
      <c r="NU7" s="98"/>
      <c r="NV7" s="96"/>
      <c r="NW7" s="97"/>
      <c r="NX7" s="98"/>
      <c r="NY7" s="96"/>
      <c r="NZ7" s="148"/>
      <c r="OA7" s="149"/>
      <c r="OB7" s="147"/>
      <c r="OC7" s="97"/>
      <c r="OD7" s="98"/>
      <c r="OE7" s="96"/>
      <c r="OF7" s="97"/>
      <c r="OG7" s="98"/>
      <c r="OH7" s="96"/>
      <c r="OI7" s="97"/>
      <c r="OJ7" s="98"/>
      <c r="OK7" s="96"/>
      <c r="OL7" s="97"/>
      <c r="OM7" s="98"/>
      <c r="ON7" s="96"/>
      <c r="OO7" s="97"/>
      <c r="OP7" s="98"/>
      <c r="OQ7" s="96"/>
      <c r="OR7" s="97"/>
      <c r="OS7" s="98"/>
      <c r="OT7" s="96"/>
      <c r="OU7" s="97"/>
      <c r="OV7" s="98"/>
      <c r="OW7" s="96"/>
      <c r="OX7" s="97"/>
      <c r="OY7" s="98"/>
      <c r="OZ7" s="96"/>
      <c r="PA7" s="148"/>
      <c r="PB7" s="149"/>
      <c r="PC7" s="147"/>
      <c r="PD7" s="97"/>
      <c r="PE7" s="98"/>
      <c r="PF7" s="96"/>
      <c r="PG7" s="97"/>
      <c r="PH7" s="98"/>
      <c r="PI7" s="96"/>
      <c r="PJ7" s="97"/>
      <c r="PK7" s="98"/>
      <c r="PL7" s="96"/>
      <c r="PM7" s="148"/>
      <c r="PN7" s="149"/>
      <c r="PO7" s="147"/>
      <c r="PP7" s="97"/>
      <c r="PQ7" s="98"/>
      <c r="PR7" s="96"/>
      <c r="PS7" s="97"/>
      <c r="PT7" s="98"/>
      <c r="PU7" s="96"/>
      <c r="PV7" s="97"/>
      <c r="PW7" s="98"/>
      <c r="PX7" s="96"/>
      <c r="PY7" s="97"/>
      <c r="PZ7" s="98"/>
      <c r="QA7" s="96"/>
      <c r="QB7" s="97"/>
      <c r="QC7" s="98"/>
      <c r="QD7" s="96"/>
      <c r="QE7" s="97"/>
      <c r="QF7" s="98"/>
      <c r="QG7" s="96"/>
      <c r="QH7" s="97"/>
      <c r="QI7" s="98"/>
      <c r="QJ7" s="96"/>
      <c r="QK7" s="99"/>
      <c r="QL7" s="95"/>
      <c r="QM7" s="96"/>
      <c r="QN7" s="148"/>
      <c r="QO7" s="149"/>
      <c r="QP7" s="147"/>
      <c r="QQ7" s="97"/>
      <c r="QR7" s="98"/>
      <c r="QS7" s="96"/>
      <c r="QT7" s="97"/>
      <c r="QU7" s="98"/>
      <c r="QV7" s="96"/>
      <c r="QW7" s="97"/>
      <c r="QX7" s="98"/>
      <c r="QY7" s="96"/>
      <c r="QZ7" s="97"/>
      <c r="RA7" s="98"/>
      <c r="RB7" s="96"/>
      <c r="RC7" s="97"/>
      <c r="RD7" s="98"/>
      <c r="RE7" s="96"/>
      <c r="RF7" s="97"/>
      <c r="RG7" s="98"/>
      <c r="RH7" s="96"/>
      <c r="RI7" s="97"/>
      <c r="RJ7" s="98"/>
      <c r="RK7" s="96"/>
      <c r="RL7" s="148"/>
      <c r="RM7" s="149"/>
      <c r="RN7" s="147"/>
      <c r="RO7" s="97"/>
      <c r="RP7" s="98"/>
      <c r="RQ7" s="96"/>
      <c r="RR7" s="97"/>
      <c r="RS7" s="98"/>
      <c r="RT7" s="96"/>
      <c r="RU7" s="97"/>
      <c r="RV7" s="98"/>
      <c r="RW7" s="96"/>
      <c r="RX7" s="97"/>
      <c r="RY7" s="98"/>
      <c r="RZ7" s="96"/>
      <c r="SA7" s="97"/>
      <c r="SB7" s="98"/>
      <c r="SC7" s="96"/>
      <c r="SD7" s="97"/>
      <c r="SE7" s="98"/>
      <c r="SF7" s="96"/>
      <c r="SG7" s="97"/>
      <c r="SH7" s="98"/>
      <c r="SI7" s="96"/>
      <c r="SJ7" s="97"/>
      <c r="SK7" s="98"/>
      <c r="SL7" s="96"/>
      <c r="SM7" s="148"/>
      <c r="SN7" s="149"/>
      <c r="SO7" s="147"/>
      <c r="SP7" s="97"/>
      <c r="SQ7" s="98"/>
      <c r="SR7" s="96"/>
      <c r="SS7" s="97"/>
      <c r="ST7" s="98"/>
      <c r="SU7" s="96"/>
      <c r="SV7" s="97"/>
      <c r="SW7" s="98"/>
      <c r="SX7" s="96"/>
      <c r="SY7" s="148"/>
      <c r="SZ7" s="149"/>
      <c r="TA7" s="147"/>
      <c r="TB7" s="97"/>
      <c r="TC7" s="98"/>
      <c r="TD7" s="96"/>
      <c r="TE7" s="97"/>
      <c r="TF7" s="98"/>
      <c r="TG7" s="96"/>
      <c r="TH7" s="97"/>
      <c r="TI7" s="98"/>
      <c r="TJ7" s="96"/>
      <c r="TK7" s="97"/>
      <c r="TL7" s="98"/>
      <c r="TM7" s="96"/>
      <c r="TN7" s="97"/>
      <c r="TO7" s="98"/>
      <c r="TP7" s="96"/>
      <c r="TQ7" s="97"/>
      <c r="TR7" s="98"/>
      <c r="TS7" s="96"/>
      <c r="TT7" s="97"/>
      <c r="TU7" s="98"/>
      <c r="TV7" s="96"/>
      <c r="TW7" s="99"/>
      <c r="TX7" s="95"/>
      <c r="TY7" s="96"/>
      <c r="TZ7" s="148"/>
      <c r="UA7" s="149"/>
      <c r="UB7" s="147"/>
      <c r="UC7" s="97"/>
      <c r="UD7" s="98"/>
      <c r="UE7" s="96"/>
      <c r="UF7" s="97"/>
      <c r="UG7" s="98"/>
      <c r="UH7" s="96"/>
      <c r="UI7" s="97"/>
      <c r="UJ7" s="98"/>
      <c r="UK7" s="96"/>
      <c r="UL7" s="97"/>
      <c r="UM7" s="98"/>
      <c r="UN7" s="96"/>
      <c r="UO7" s="97"/>
      <c r="UP7" s="98"/>
      <c r="UQ7" s="96"/>
      <c r="UR7" s="97"/>
      <c r="US7" s="98"/>
      <c r="UT7" s="96"/>
      <c r="UU7" s="97"/>
      <c r="UV7" s="98"/>
      <c r="UW7" s="96"/>
      <c r="UX7" s="148"/>
      <c r="UY7" s="149"/>
      <c r="UZ7" s="147"/>
      <c r="VA7" s="97"/>
      <c r="VB7" s="98"/>
      <c r="VC7" s="96"/>
      <c r="VD7" s="97"/>
      <c r="VE7" s="98"/>
      <c r="VF7" s="96"/>
      <c r="VG7" s="97"/>
      <c r="VH7" s="98"/>
      <c r="VI7" s="96"/>
      <c r="VJ7" s="97"/>
      <c r="VK7" s="98"/>
      <c r="VL7" s="96"/>
      <c r="VM7" s="97"/>
      <c r="VN7" s="98"/>
      <c r="VO7" s="96"/>
      <c r="VP7" s="97"/>
      <c r="VQ7" s="98"/>
      <c r="VR7" s="96"/>
      <c r="VS7" s="97"/>
      <c r="VT7" s="98"/>
      <c r="VU7" s="96"/>
      <c r="VV7" s="97"/>
      <c r="VW7" s="98"/>
      <c r="VX7" s="96"/>
      <c r="VY7" s="148"/>
      <c r="VZ7" s="149"/>
      <c r="WA7" s="147"/>
      <c r="WB7" s="97"/>
      <c r="WC7" s="98"/>
      <c r="WD7" s="96"/>
      <c r="WE7" s="97"/>
      <c r="WF7" s="98"/>
      <c r="WG7" s="96"/>
      <c r="WH7" s="97"/>
      <c r="WI7" s="98"/>
      <c r="WJ7" s="96"/>
      <c r="WK7" s="148"/>
      <c r="WL7" s="149"/>
      <c r="WM7" s="147"/>
      <c r="WN7" s="97"/>
      <c r="WO7" s="98"/>
      <c r="WP7" s="96"/>
      <c r="WQ7" s="97"/>
      <c r="WR7" s="98"/>
      <c r="WS7" s="96"/>
      <c r="WT7" s="97"/>
      <c r="WU7" s="98"/>
      <c r="WV7" s="96"/>
      <c r="WW7" s="97"/>
      <c r="WX7" s="98"/>
      <c r="WY7" s="96"/>
      <c r="WZ7" s="97"/>
      <c r="XA7" s="98"/>
      <c r="XB7" s="96"/>
      <c r="XC7" s="97"/>
      <c r="XD7" s="98"/>
      <c r="XE7" s="96"/>
      <c r="XF7" s="97"/>
      <c r="XG7" s="98"/>
      <c r="XH7" s="96"/>
      <c r="XI7" s="99"/>
      <c r="XJ7" s="95"/>
      <c r="XK7" s="96"/>
      <c r="XL7" s="148"/>
      <c r="XM7" s="149"/>
      <c r="XN7" s="147"/>
      <c r="XO7" s="97"/>
      <c r="XP7" s="98"/>
      <c r="XQ7" s="96"/>
      <c r="XR7" s="97"/>
      <c r="XS7" s="98"/>
      <c r="XT7" s="96"/>
      <c r="XU7" s="97"/>
      <c r="XV7" s="98"/>
      <c r="XW7" s="96"/>
      <c r="XX7" s="97"/>
      <c r="XY7" s="98"/>
      <c r="XZ7" s="96"/>
      <c r="YA7" s="97"/>
      <c r="YB7" s="98"/>
      <c r="YC7" s="96"/>
      <c r="YD7" s="97"/>
      <c r="YE7" s="98"/>
      <c r="YF7" s="96"/>
      <c r="YG7" s="97"/>
      <c r="YH7" s="98"/>
      <c r="YI7" s="96"/>
      <c r="YJ7" s="148"/>
      <c r="YK7" s="149"/>
      <c r="YL7" s="147"/>
      <c r="YM7" s="97"/>
      <c r="YN7" s="98"/>
      <c r="YO7" s="96"/>
      <c r="YP7" s="97"/>
      <c r="YQ7" s="98"/>
      <c r="YR7" s="96"/>
      <c r="YS7" s="97"/>
      <c r="YT7" s="98"/>
      <c r="YU7" s="96"/>
      <c r="YV7" s="97"/>
      <c r="YW7" s="98"/>
      <c r="YX7" s="96"/>
      <c r="YY7" s="97"/>
      <c r="YZ7" s="98"/>
      <c r="ZA7" s="96"/>
      <c r="ZB7" s="97"/>
      <c r="ZC7" s="98"/>
      <c r="ZD7" s="96"/>
      <c r="ZE7" s="97"/>
      <c r="ZF7" s="98"/>
      <c r="ZG7" s="96"/>
      <c r="ZH7" s="97"/>
      <c r="ZI7" s="98"/>
      <c r="ZJ7" s="96"/>
      <c r="ZK7" s="148"/>
      <c r="ZL7" s="149"/>
      <c r="ZM7" s="147"/>
      <c r="ZN7" s="97"/>
      <c r="ZO7" s="98"/>
      <c r="ZP7" s="96"/>
      <c r="ZQ7" s="97"/>
      <c r="ZR7" s="98"/>
      <c r="ZS7" s="96"/>
      <c r="ZT7" s="97"/>
      <c r="ZU7" s="98"/>
      <c r="ZV7" s="96"/>
      <c r="ZW7" s="148"/>
      <c r="ZX7" s="149"/>
      <c r="ZY7" s="147"/>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48"/>
      <c r="AAY7" s="149"/>
      <c r="AAZ7" s="147"/>
      <c r="ABA7" s="97"/>
      <c r="ABB7" s="98"/>
      <c r="ABC7" s="96"/>
      <c r="ABD7" s="97"/>
      <c r="ABE7" s="98"/>
      <c r="ABF7" s="96"/>
      <c r="ABG7" s="97"/>
      <c r="ABH7" s="98"/>
      <c r="ABI7" s="96"/>
      <c r="ABJ7" s="97"/>
      <c r="ABK7" s="98"/>
      <c r="ABL7" s="96"/>
      <c r="ABM7" s="97"/>
      <c r="ABN7" s="98"/>
      <c r="ABO7" s="96"/>
      <c r="ABP7" s="97"/>
      <c r="ABQ7" s="98"/>
      <c r="ABR7" s="96"/>
      <c r="ABS7" s="97"/>
      <c r="ABT7" s="98"/>
      <c r="ABU7" s="96"/>
      <c r="ABV7" s="148"/>
      <c r="ABW7" s="149"/>
      <c r="ABX7" s="147"/>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48"/>
      <c r="ACX7" s="149"/>
      <c r="ACY7" s="147"/>
      <c r="ACZ7" s="97"/>
      <c r="ADA7" s="98"/>
      <c r="ADB7" s="96"/>
      <c r="ADC7" s="97"/>
      <c r="ADD7" s="98"/>
      <c r="ADE7" s="96"/>
      <c r="ADF7" s="97"/>
      <c r="ADG7" s="98"/>
      <c r="ADH7" s="96"/>
      <c r="ADI7" s="148"/>
      <c r="ADJ7" s="149"/>
      <c r="ADK7" s="147"/>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20"/>
      <c r="C8" s="107">
        <v>163</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202"/>
      <c r="AN8" s="203"/>
      <c r="AO8" s="201"/>
      <c r="AP8" s="202"/>
      <c r="AQ8" s="203"/>
      <c r="AR8" s="201"/>
      <c r="AS8" s="202"/>
      <c r="AT8" s="203"/>
      <c r="AU8" s="102"/>
      <c r="AV8" s="103"/>
      <c r="AW8" s="104"/>
      <c r="AX8" s="102"/>
      <c r="AY8" s="103"/>
      <c r="AZ8" s="104"/>
      <c r="BA8" s="102"/>
      <c r="BB8" s="103"/>
      <c r="BC8" s="104"/>
      <c r="BD8" s="102"/>
      <c r="BE8" s="103"/>
      <c r="BF8" s="104"/>
      <c r="BG8" s="102"/>
      <c r="BH8" s="103"/>
      <c r="BI8" s="104"/>
      <c r="BJ8" s="102"/>
      <c r="BK8" s="103"/>
      <c r="BL8" s="104"/>
      <c r="BM8" s="102"/>
      <c r="BN8" s="103"/>
      <c r="BO8" s="203"/>
      <c r="BP8" s="201"/>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202"/>
      <c r="CV8" s="203"/>
      <c r="CW8" s="201"/>
      <c r="CX8" s="202"/>
      <c r="CY8" s="203"/>
      <c r="CZ8" s="201"/>
      <c r="DA8" s="202"/>
      <c r="DB8" s="203"/>
      <c r="DC8" s="201"/>
      <c r="DD8" s="202"/>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202"/>
      <c r="EL8" s="203"/>
      <c r="EM8" s="201"/>
      <c r="EN8" s="202"/>
      <c r="EO8" s="104"/>
      <c r="EP8" s="102"/>
      <c r="EQ8" s="103"/>
      <c r="ER8" s="104"/>
      <c r="ES8" s="102"/>
      <c r="ET8" s="103"/>
      <c r="EU8" s="104"/>
      <c r="EV8" s="102"/>
      <c r="EW8" s="103"/>
      <c r="EX8" s="104"/>
      <c r="EY8" s="102"/>
      <c r="EZ8" s="103"/>
      <c r="FA8" s="104"/>
      <c r="FB8" s="102"/>
      <c r="FC8" s="103"/>
      <c r="FD8" s="104"/>
      <c r="FE8" s="102"/>
      <c r="FF8" s="103"/>
      <c r="FG8" s="203"/>
      <c r="FH8" s="201"/>
      <c r="FI8" s="202"/>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201"/>
      <c r="GY8" s="202"/>
      <c r="GZ8" s="104"/>
      <c r="HA8" s="102"/>
      <c r="HB8" s="103"/>
      <c r="HC8" s="104"/>
      <c r="HD8" s="102"/>
      <c r="HE8" s="103"/>
      <c r="HF8" s="104"/>
      <c r="HG8" s="102"/>
      <c r="HH8" s="103"/>
      <c r="HI8" s="104"/>
      <c r="HJ8" s="102"/>
      <c r="HK8" s="103"/>
      <c r="HL8" s="104"/>
      <c r="HM8" s="102"/>
      <c r="HN8" s="103"/>
      <c r="HO8" s="104"/>
      <c r="HP8" s="102"/>
      <c r="HQ8" s="103"/>
      <c r="HR8" s="104"/>
      <c r="HS8" s="201"/>
      <c r="HT8" s="202"/>
      <c r="HU8" s="203"/>
      <c r="HV8" s="201"/>
      <c r="HW8" s="103"/>
      <c r="HX8" s="104"/>
      <c r="HY8" s="102"/>
      <c r="HZ8" s="103"/>
      <c r="IA8" s="104"/>
      <c r="IB8" s="102"/>
      <c r="IC8" s="103"/>
      <c r="ID8" s="104"/>
      <c r="IE8" s="102"/>
      <c r="IF8" s="103"/>
      <c r="IG8" s="104"/>
      <c r="IH8" s="102"/>
      <c r="II8" s="202"/>
      <c r="IJ8" s="203"/>
      <c r="IK8" s="201"/>
      <c r="IL8" s="103"/>
      <c r="IM8" s="104"/>
      <c r="IN8" s="102"/>
      <c r="IO8" s="103"/>
      <c r="IP8" s="104"/>
      <c r="IQ8" s="102"/>
      <c r="IR8" s="103"/>
      <c r="IS8" s="203"/>
      <c r="IT8" s="201"/>
      <c r="IU8" s="202"/>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203"/>
      <c r="OB8" s="201"/>
      <c r="OC8" s="202"/>
      <c r="OD8" s="203"/>
      <c r="OE8" s="201"/>
      <c r="OF8" s="202"/>
      <c r="OG8" s="203"/>
      <c r="OH8" s="201"/>
      <c r="OI8" s="202"/>
      <c r="OJ8" s="203"/>
      <c r="OK8" s="201"/>
      <c r="OL8" s="202"/>
      <c r="OM8" s="203"/>
      <c r="ON8" s="201"/>
      <c r="OO8" s="202"/>
      <c r="OP8" s="203"/>
      <c r="OQ8" s="201"/>
      <c r="OR8" s="202"/>
      <c r="OS8" s="203"/>
      <c r="OT8" s="102"/>
      <c r="OU8" s="103"/>
      <c r="OV8" s="104"/>
      <c r="OW8" s="102"/>
      <c r="OX8" s="103"/>
      <c r="OY8" s="203"/>
      <c r="OZ8" s="201"/>
      <c r="PA8" s="202"/>
      <c r="PB8" s="203"/>
      <c r="PC8" s="201"/>
      <c r="PD8" s="202"/>
      <c r="PE8" s="203"/>
      <c r="PF8" s="201"/>
      <c r="PG8" s="202"/>
      <c r="PH8" s="203"/>
      <c r="PI8" s="201"/>
      <c r="PJ8" s="103"/>
      <c r="PK8" s="203"/>
      <c r="PL8" s="201"/>
      <c r="PM8" s="202"/>
      <c r="PN8" s="203"/>
      <c r="PO8" s="201"/>
      <c r="PP8" s="202"/>
      <c r="PQ8" s="203"/>
      <c r="PR8" s="201"/>
      <c r="PS8" s="202"/>
      <c r="PT8" s="203"/>
      <c r="PU8" s="201"/>
      <c r="PV8" s="202"/>
      <c r="PW8" s="203"/>
      <c r="PX8" s="201"/>
      <c r="PY8" s="202"/>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203"/>
      <c r="RK8" s="201"/>
      <c r="RL8" s="202"/>
      <c r="RM8" s="203"/>
      <c r="RN8" s="201"/>
      <c r="RO8" s="202"/>
      <c r="RP8" s="203"/>
      <c r="RQ8" s="201"/>
      <c r="RR8" s="202"/>
      <c r="RS8" s="203"/>
      <c r="RT8" s="201"/>
      <c r="RU8" s="202"/>
      <c r="RV8" s="203"/>
      <c r="RW8" s="201"/>
      <c r="RX8" s="202"/>
      <c r="RY8" s="203"/>
      <c r="RZ8" s="201"/>
      <c r="SA8" s="202"/>
      <c r="SB8" s="203"/>
      <c r="SC8" s="102"/>
      <c r="SD8" s="103"/>
      <c r="SE8" s="104"/>
      <c r="SF8" s="102"/>
      <c r="SG8" s="103"/>
      <c r="SH8" s="104"/>
      <c r="SI8" s="102"/>
      <c r="SJ8" s="103"/>
      <c r="SK8" s="203"/>
      <c r="SL8" s="201"/>
      <c r="SM8" s="202"/>
      <c r="SN8" s="203"/>
      <c r="SO8" s="201"/>
      <c r="SP8" s="202"/>
      <c r="SQ8" s="203"/>
      <c r="SR8" s="201"/>
      <c r="SS8" s="202"/>
      <c r="ST8" s="203"/>
      <c r="SU8" s="201"/>
      <c r="SV8" s="103"/>
      <c r="SW8" s="104"/>
      <c r="SX8" s="102"/>
      <c r="SY8" s="103"/>
      <c r="SZ8" s="104"/>
      <c r="TA8" s="102"/>
      <c r="TB8" s="103"/>
      <c r="TC8" s="104"/>
      <c r="TD8" s="102"/>
      <c r="TE8" s="103"/>
      <c r="TF8" s="104"/>
      <c r="TG8" s="102"/>
      <c r="TH8" s="103"/>
      <c r="TI8" s="203"/>
      <c r="TJ8" s="201"/>
      <c r="TK8" s="202"/>
      <c r="TL8" s="203"/>
      <c r="TM8" s="201"/>
      <c r="TN8" s="202"/>
      <c r="TO8" s="203"/>
      <c r="TP8" s="201"/>
      <c r="TQ8" s="202"/>
      <c r="TR8" s="203"/>
      <c r="TS8" s="201"/>
      <c r="TT8" s="202"/>
      <c r="TU8" s="203"/>
      <c r="TV8" s="201"/>
      <c r="TW8" s="105"/>
      <c r="TX8" s="101"/>
      <c r="TY8" s="102"/>
      <c r="TZ8" s="103"/>
      <c r="UA8" s="104"/>
      <c r="UB8" s="102"/>
      <c r="UC8" s="103"/>
      <c r="UD8" s="203"/>
      <c r="UE8" s="201"/>
      <c r="UF8" s="202"/>
      <c r="UG8" s="203"/>
      <c r="UH8" s="201"/>
      <c r="UI8" s="202"/>
      <c r="UJ8" s="203"/>
      <c r="UK8" s="201"/>
      <c r="UL8" s="202"/>
      <c r="UM8" s="203"/>
      <c r="UN8" s="201"/>
      <c r="UO8" s="202"/>
      <c r="UP8" s="203"/>
      <c r="UQ8" s="201"/>
      <c r="UR8" s="202"/>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203"/>
      <c r="VX8" s="201"/>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202"/>
      <c r="YQ8" s="203"/>
      <c r="YR8" s="201"/>
      <c r="YS8" s="202"/>
      <c r="YT8" s="203"/>
      <c r="YU8" s="201"/>
      <c r="YV8" s="103"/>
      <c r="YW8" s="104"/>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203"/>
      <c r="ZV8" s="201"/>
      <c r="ZW8" s="202"/>
      <c r="ZX8" s="203"/>
      <c r="ZY8" s="201"/>
      <c r="ZZ8" s="202"/>
      <c r="AAA8" s="203"/>
      <c r="AAB8" s="201"/>
      <c r="AAC8" s="202"/>
      <c r="AAD8" s="203"/>
      <c r="AAE8" s="201"/>
      <c r="AAF8" s="202"/>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19"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48"/>
      <c r="NR9" s="149"/>
      <c r="NS9" s="147"/>
      <c r="NT9" s="148"/>
      <c r="NU9" s="149"/>
      <c r="NV9" s="147"/>
      <c r="NW9" s="148"/>
      <c r="NX9" s="98"/>
      <c r="NY9" s="96"/>
      <c r="NZ9" s="97"/>
      <c r="OA9" s="98"/>
      <c r="OB9" s="96"/>
      <c r="OC9" s="148"/>
      <c r="OD9" s="149"/>
      <c r="OE9" s="147"/>
      <c r="OF9" s="148"/>
      <c r="OG9" s="149"/>
      <c r="OH9" s="147"/>
      <c r="OI9" s="148"/>
      <c r="OJ9" s="149"/>
      <c r="OK9" s="147"/>
      <c r="OL9" s="148"/>
      <c r="OM9" s="149"/>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20"/>
      <c r="C10" s="107">
        <v>18</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200"/>
      <c r="XK10" s="201"/>
      <c r="XL10" s="202"/>
      <c r="XM10" s="203"/>
      <c r="XN10" s="201"/>
      <c r="XO10" s="202"/>
      <c r="XP10" s="203"/>
      <c r="XQ10" s="201"/>
      <c r="XR10" s="202"/>
      <c r="XS10" s="203"/>
      <c r="XT10" s="201"/>
      <c r="XU10" s="202"/>
      <c r="XV10" s="203"/>
      <c r="XW10" s="201"/>
      <c r="XX10" s="103"/>
      <c r="XY10" s="104"/>
      <c r="XZ10" s="102"/>
      <c r="YA10" s="103"/>
      <c r="YB10" s="104"/>
      <c r="YC10" s="102"/>
      <c r="YD10" s="103"/>
      <c r="YE10" s="104"/>
      <c r="YF10" s="102"/>
      <c r="YG10" s="103"/>
      <c r="YH10" s="104"/>
      <c r="YI10" s="102"/>
      <c r="YJ10" s="103"/>
      <c r="YK10" s="104"/>
      <c r="YL10" s="102"/>
      <c r="YM10" s="103"/>
      <c r="YN10" s="203"/>
      <c r="YO10" s="201"/>
      <c r="YP10" s="103"/>
      <c r="YQ10" s="104"/>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203"/>
      <c r="AAH10" s="201"/>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19" t="str">
        <f>Donnees!$C$24</f>
        <v>INFORMER : Analyse du projet</v>
      </c>
      <c r="C11" s="106">
        <v>7</v>
      </c>
      <c r="D11" s="95"/>
      <c r="E11" s="96"/>
      <c r="F11" s="97"/>
      <c r="G11" s="98"/>
      <c r="H11" s="96"/>
      <c r="I11" s="97"/>
      <c r="J11" s="98"/>
      <c r="K11" s="96"/>
      <c r="L11" s="97"/>
      <c r="M11" s="98"/>
      <c r="N11" s="96"/>
      <c r="O11" s="97"/>
      <c r="P11" s="98"/>
      <c r="Q11" s="96"/>
      <c r="R11" s="148"/>
      <c r="S11" s="149"/>
      <c r="T11" s="147"/>
      <c r="U11" s="148"/>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49"/>
      <c r="CN11" s="147"/>
      <c r="CO11" s="176"/>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20"/>
      <c r="C12" s="107">
        <v>10</v>
      </c>
      <c r="D12" s="101"/>
      <c r="E12" s="102"/>
      <c r="F12" s="103"/>
      <c r="G12" s="104"/>
      <c r="H12" s="102"/>
      <c r="I12" s="103"/>
      <c r="J12" s="104"/>
      <c r="K12" s="102"/>
      <c r="L12" s="103"/>
      <c r="M12" s="104"/>
      <c r="N12" s="102"/>
      <c r="O12" s="103"/>
      <c r="P12" s="104"/>
      <c r="Q12" s="102"/>
      <c r="R12" s="202"/>
      <c r="S12" s="203"/>
      <c r="T12" s="201"/>
      <c r="U12" s="202"/>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203"/>
      <c r="CE12" s="201"/>
      <c r="CF12" s="202"/>
      <c r="CG12" s="104"/>
      <c r="CH12" s="102"/>
      <c r="CI12" s="103"/>
      <c r="CJ12" s="104"/>
      <c r="CK12" s="102"/>
      <c r="CL12" s="103"/>
      <c r="CM12" s="203"/>
      <c r="CN12" s="201"/>
      <c r="CO12" s="204"/>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19"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49"/>
      <c r="AX13" s="147"/>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46"/>
      <c r="CQ13" s="147"/>
      <c r="CR13" s="148"/>
      <c r="CS13" s="149"/>
      <c r="CT13" s="147"/>
      <c r="CU13" s="148"/>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20"/>
      <c r="C14" s="107">
        <v>8</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201"/>
      <c r="AV14" s="202"/>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202"/>
      <c r="CJ14" s="104"/>
      <c r="CK14" s="102"/>
      <c r="CL14" s="103"/>
      <c r="CM14" s="104"/>
      <c r="CN14" s="102"/>
      <c r="CO14" s="105"/>
      <c r="CP14" s="200"/>
      <c r="CQ14" s="201"/>
      <c r="CR14" s="202"/>
      <c r="CS14" s="203"/>
      <c r="CT14" s="201"/>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19"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20"/>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19"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48"/>
      <c r="DE17" s="149"/>
      <c r="DF17" s="147"/>
      <c r="DG17" s="148"/>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20"/>
      <c r="C18" s="107">
        <v>5</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203"/>
      <c r="CK18" s="201"/>
      <c r="CL18" s="202"/>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203"/>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202"/>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19"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49"/>
      <c r="EY19" s="147"/>
      <c r="EZ19" s="148"/>
      <c r="FA19" s="98"/>
      <c r="FB19" s="96"/>
      <c r="FC19" s="97"/>
      <c r="FD19" s="98"/>
      <c r="FE19" s="96"/>
      <c r="FF19" s="97"/>
      <c r="FG19" s="98"/>
      <c r="FH19" s="96"/>
      <c r="FI19" s="97"/>
      <c r="FJ19" s="98"/>
      <c r="FK19" s="96"/>
      <c r="FL19" s="148"/>
      <c r="FM19" s="149"/>
      <c r="FN19" s="147"/>
      <c r="FO19" s="148"/>
      <c r="FP19" s="149"/>
      <c r="FQ19" s="147"/>
      <c r="FR19" s="148"/>
      <c r="FS19" s="149"/>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20"/>
      <c r="C20" s="107">
        <v>27</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203"/>
      <c r="EG20" s="102"/>
      <c r="EH20" s="103"/>
      <c r="EI20" s="104"/>
      <c r="EJ20" s="102"/>
      <c r="EK20" s="103"/>
      <c r="EL20" s="104"/>
      <c r="EM20" s="102"/>
      <c r="EN20" s="103"/>
      <c r="EO20" s="203"/>
      <c r="EP20" s="201"/>
      <c r="EQ20" s="202"/>
      <c r="ER20" s="203"/>
      <c r="ES20" s="201"/>
      <c r="ET20" s="202"/>
      <c r="EU20" s="203"/>
      <c r="EV20" s="201"/>
      <c r="EW20" s="103"/>
      <c r="EX20" s="104"/>
      <c r="EY20" s="102"/>
      <c r="EZ20" s="103"/>
      <c r="FA20" s="203"/>
      <c r="FB20" s="201"/>
      <c r="FC20" s="202"/>
      <c r="FD20" s="203"/>
      <c r="FE20" s="201"/>
      <c r="FF20" s="103"/>
      <c r="FG20" s="104"/>
      <c r="FH20" s="102"/>
      <c r="FI20" s="103"/>
      <c r="FJ20" s="104"/>
      <c r="FK20" s="102"/>
      <c r="FL20" s="103"/>
      <c r="FM20" s="104"/>
      <c r="FN20" s="102"/>
      <c r="FO20" s="103"/>
      <c r="FP20" s="104"/>
      <c r="FQ20" s="102"/>
      <c r="FR20" s="103"/>
      <c r="FS20" s="104"/>
      <c r="FT20" s="102"/>
      <c r="FU20" s="103"/>
      <c r="FV20" s="203"/>
      <c r="FW20" s="201"/>
      <c r="FX20" s="202"/>
      <c r="FY20" s="203"/>
      <c r="FZ20" s="102"/>
      <c r="GA20" s="105"/>
      <c r="GB20" s="200"/>
      <c r="GC20" s="201"/>
      <c r="GD20" s="202"/>
      <c r="GE20" s="203"/>
      <c r="GF20" s="201"/>
      <c r="GG20" s="202"/>
      <c r="GH20" s="203"/>
      <c r="GI20" s="201"/>
      <c r="GJ20" s="202"/>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19"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47"/>
      <c r="DY21" s="148"/>
      <c r="DZ21" s="149"/>
      <c r="EA21" s="147"/>
      <c r="EB21" s="148"/>
      <c r="EC21" s="149"/>
      <c r="ED21" s="147"/>
      <c r="EE21" s="148"/>
      <c r="EF21" s="149"/>
      <c r="EG21" s="147"/>
      <c r="EH21" s="148"/>
      <c r="EI21" s="149"/>
      <c r="EJ21" s="147"/>
      <c r="EK21" s="148"/>
      <c r="EL21" s="149"/>
      <c r="EM21" s="147"/>
      <c r="EN21" s="148"/>
      <c r="EO21" s="98"/>
      <c r="EP21" s="96"/>
      <c r="EQ21" s="97"/>
      <c r="ER21" s="98"/>
      <c r="ES21" s="96"/>
      <c r="ET21" s="148"/>
      <c r="EU21" s="149"/>
      <c r="EV21" s="147"/>
      <c r="EW21" s="148"/>
      <c r="EX21" s="98"/>
      <c r="EY21" s="96"/>
      <c r="EZ21" s="97"/>
      <c r="FA21" s="98"/>
      <c r="FB21" s="96"/>
      <c r="FC21" s="97"/>
      <c r="FD21" s="98"/>
      <c r="FE21" s="96"/>
      <c r="FF21" s="148"/>
      <c r="FG21" s="149"/>
      <c r="FH21" s="147"/>
      <c r="FI21" s="148"/>
      <c r="FJ21" s="149"/>
      <c r="FK21" s="147"/>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20"/>
      <c r="C22" s="107">
        <v>8</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202"/>
      <c r="DW22" s="203"/>
      <c r="DX22" s="201"/>
      <c r="DY22" s="202"/>
      <c r="DZ22" s="203"/>
      <c r="EA22" s="201"/>
      <c r="EB22" s="202"/>
      <c r="EC22" s="203"/>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19"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47"/>
      <c r="FU23" s="148"/>
      <c r="FV23" s="149"/>
      <c r="FW23" s="147"/>
      <c r="FX23" s="148"/>
      <c r="FY23" s="149"/>
      <c r="FZ23" s="147"/>
      <c r="GA23" s="176"/>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20"/>
      <c r="C24" s="107">
        <v>2</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201"/>
      <c r="EE24" s="202"/>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19"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48"/>
      <c r="GT25" s="149"/>
      <c r="GU25" s="147"/>
      <c r="GV25" s="148"/>
      <c r="GW25" s="149"/>
      <c r="GX25" s="147"/>
      <c r="GY25" s="148"/>
      <c r="GZ25" s="98"/>
      <c r="HA25" s="96"/>
      <c r="HB25" s="97"/>
      <c r="HC25" s="98"/>
      <c r="HD25" s="96"/>
      <c r="HE25" s="148"/>
      <c r="HF25" s="149"/>
      <c r="HG25" s="147"/>
      <c r="HH25" s="148"/>
      <c r="HI25" s="149"/>
      <c r="HJ25" s="147"/>
      <c r="HK25" s="148"/>
      <c r="HL25" s="149"/>
      <c r="HM25" s="147"/>
      <c r="HN25" s="148"/>
      <c r="HO25" s="149"/>
      <c r="HP25" s="147"/>
      <c r="HQ25" s="148"/>
      <c r="HR25" s="149"/>
      <c r="HS25" s="147"/>
      <c r="HT25" s="148"/>
      <c r="HU25" s="149"/>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20"/>
      <c r="C26" s="107">
        <v>8</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203"/>
      <c r="IB26" s="201"/>
      <c r="IC26" s="202"/>
      <c r="ID26" s="203"/>
      <c r="IE26" s="201"/>
      <c r="IF26" s="202"/>
      <c r="IG26" s="203"/>
      <c r="IH26" s="201"/>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19"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47"/>
      <c r="HW27" s="148"/>
      <c r="HX27" s="149"/>
      <c r="HY27" s="147"/>
      <c r="HZ27" s="148"/>
      <c r="IA27" s="98"/>
      <c r="IB27" s="96"/>
      <c r="IC27" s="97"/>
      <c r="ID27" s="98"/>
      <c r="IE27" s="96"/>
      <c r="IF27" s="148"/>
      <c r="IG27" s="149"/>
      <c r="IH27" s="147"/>
      <c r="II27" s="148"/>
      <c r="IJ27" s="149"/>
      <c r="IK27" s="147"/>
      <c r="IL27" s="148"/>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20"/>
      <c r="C28" s="107">
        <v>4</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203"/>
      <c r="GL28" s="201"/>
      <c r="GM28" s="202"/>
      <c r="GN28" s="203"/>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19"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49"/>
      <c r="DI29" s="147"/>
      <c r="DJ29" s="148"/>
      <c r="DK29" s="149"/>
      <c r="DL29" s="147"/>
      <c r="DM29" s="148"/>
      <c r="DN29" s="98"/>
      <c r="DO29" s="96"/>
      <c r="DP29" s="97"/>
      <c r="DQ29" s="98"/>
      <c r="DR29" s="96"/>
      <c r="DS29" s="148"/>
      <c r="DT29" s="149"/>
      <c r="DU29" s="147"/>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20"/>
      <c r="C30" s="107">
        <v>7</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203"/>
      <c r="DF30" s="201"/>
      <c r="DG30" s="202"/>
      <c r="DH30" s="203"/>
      <c r="DI30" s="201"/>
      <c r="DJ30" s="202"/>
      <c r="DK30" s="203"/>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19"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48"/>
      <c r="IS31" s="149"/>
      <c r="IT31" s="147"/>
      <c r="IU31" s="148"/>
      <c r="IV31" s="149"/>
      <c r="IW31" s="147"/>
      <c r="IX31" s="148"/>
      <c r="IY31" s="149"/>
      <c r="IZ31" s="147"/>
      <c r="JA31" s="148"/>
      <c r="JB31" s="149"/>
      <c r="JC31" s="147"/>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20"/>
      <c r="C32" s="107">
        <v>9</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202"/>
      <c r="GT32" s="203"/>
      <c r="GU32" s="201"/>
      <c r="GV32" s="202"/>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201"/>
      <c r="IO32" s="202"/>
      <c r="IP32" s="203"/>
      <c r="IQ32" s="201"/>
      <c r="IR32" s="202"/>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19"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48"/>
      <c r="GH33" s="149"/>
      <c r="GI33" s="147"/>
      <c r="GJ33" s="148"/>
      <c r="GK33" s="149"/>
      <c r="GL33" s="147"/>
      <c r="GM33" s="148"/>
      <c r="GN33" s="149"/>
      <c r="GO33" s="147"/>
      <c r="GP33" s="148"/>
      <c r="GQ33" s="149"/>
      <c r="GR33" s="147"/>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20"/>
      <c r="C34" s="107">
        <v>27</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202"/>
      <c r="EX34" s="203"/>
      <c r="EY34" s="201"/>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201"/>
      <c r="GP34" s="202"/>
      <c r="GQ34" s="203"/>
      <c r="GR34" s="201"/>
      <c r="GS34" s="103"/>
      <c r="GT34" s="104"/>
      <c r="GU34" s="102"/>
      <c r="GV34" s="103"/>
      <c r="GW34" s="104"/>
      <c r="GX34" s="102"/>
      <c r="GY34" s="103"/>
      <c r="GZ34" s="203"/>
      <c r="HA34" s="201"/>
      <c r="HB34" s="202"/>
      <c r="HC34" s="203"/>
      <c r="HD34" s="201"/>
      <c r="HE34" s="202"/>
      <c r="HF34" s="203"/>
      <c r="HG34" s="201"/>
      <c r="HH34" s="202"/>
      <c r="HI34" s="203"/>
      <c r="HJ34" s="201"/>
      <c r="HK34" s="202"/>
      <c r="HL34" s="203"/>
      <c r="HM34" s="201"/>
      <c r="HN34" s="202"/>
      <c r="HO34" s="203"/>
      <c r="HP34" s="201"/>
      <c r="HQ34" s="202"/>
      <c r="HR34" s="203"/>
      <c r="HS34" s="102"/>
      <c r="HT34" s="103"/>
      <c r="HU34" s="104"/>
      <c r="HV34" s="102"/>
      <c r="HW34" s="103"/>
      <c r="HX34" s="104"/>
      <c r="HY34" s="102"/>
      <c r="HZ34" s="103"/>
      <c r="IA34" s="104"/>
      <c r="IB34" s="102"/>
      <c r="IC34" s="103"/>
      <c r="ID34" s="104"/>
      <c r="IE34" s="102"/>
      <c r="IF34" s="103"/>
      <c r="IG34" s="104"/>
      <c r="IH34" s="102"/>
      <c r="II34" s="103"/>
      <c r="IJ34" s="104"/>
      <c r="IK34" s="102"/>
      <c r="IL34" s="103"/>
      <c r="IM34" s="203"/>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19"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47"/>
      <c r="X35" s="148"/>
      <c r="Y35" s="149"/>
      <c r="Z35" s="147"/>
      <c r="AA35" s="148"/>
      <c r="AB35" s="98"/>
      <c r="AC35" s="96"/>
      <c r="AD35" s="97"/>
      <c r="AE35" s="98"/>
      <c r="AF35" s="147"/>
      <c r="AG35" s="148"/>
      <c r="AH35" s="149"/>
      <c r="AI35" s="147"/>
      <c r="AJ35" s="148"/>
      <c r="AK35" s="149"/>
      <c r="AL35" s="147"/>
      <c r="AM35" s="148"/>
      <c r="AN35" s="149"/>
      <c r="AO35" s="147"/>
      <c r="AP35" s="148"/>
      <c r="AQ35" s="149"/>
      <c r="AR35" s="147"/>
      <c r="AS35" s="148"/>
      <c r="AT35" s="149"/>
      <c r="AU35" s="147"/>
      <c r="AV35" s="148"/>
      <c r="AW35" s="98"/>
      <c r="AX35" s="96"/>
      <c r="AY35" s="97"/>
      <c r="AZ35" s="98"/>
      <c r="BA35" s="96"/>
      <c r="BB35" s="97"/>
      <c r="BC35" s="98"/>
      <c r="BD35" s="147"/>
      <c r="BE35" s="148"/>
      <c r="BF35" s="149"/>
      <c r="BG35" s="147"/>
      <c r="BH35" s="148"/>
      <c r="BI35" s="149"/>
      <c r="BJ35" s="147"/>
      <c r="BK35" s="148"/>
      <c r="BL35" s="149"/>
      <c r="BM35" s="147"/>
      <c r="BN35" s="148"/>
      <c r="BO35" s="98"/>
      <c r="BP35" s="147"/>
      <c r="BQ35" s="148"/>
      <c r="BR35" s="149"/>
      <c r="BS35" s="147"/>
      <c r="BT35" s="148"/>
      <c r="BU35" s="149"/>
      <c r="BV35" s="147"/>
      <c r="BW35" s="148"/>
      <c r="BX35" s="149"/>
      <c r="BY35" s="147"/>
      <c r="BZ35" s="148"/>
      <c r="CA35" s="149"/>
      <c r="CB35" s="147"/>
      <c r="CC35" s="148"/>
      <c r="CD35" s="149"/>
      <c r="CE35" s="147"/>
      <c r="CF35" s="148"/>
      <c r="CG35" s="149"/>
      <c r="CH35" s="147"/>
      <c r="CI35" s="148"/>
      <c r="CJ35" s="149"/>
      <c r="CK35" s="147"/>
      <c r="CL35" s="148"/>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48"/>
      <c r="JE35" s="149"/>
      <c r="JF35" s="147"/>
      <c r="JG35" s="148"/>
      <c r="JH35" s="149"/>
      <c r="JI35" s="147"/>
      <c r="JJ35" s="148"/>
      <c r="JK35" s="149"/>
      <c r="JL35" s="147"/>
      <c r="JM35" s="176"/>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48"/>
      <c r="NF35" s="149"/>
      <c r="NG35" s="147"/>
      <c r="NH35" s="148"/>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20"/>
      <c r="C36" s="107">
        <v>23</v>
      </c>
      <c r="D36" s="101"/>
      <c r="E36" s="102"/>
      <c r="F36" s="103"/>
      <c r="G36" s="104"/>
      <c r="H36" s="102"/>
      <c r="I36" s="103"/>
      <c r="J36" s="104"/>
      <c r="K36" s="102"/>
      <c r="L36" s="103"/>
      <c r="M36" s="104"/>
      <c r="N36" s="102"/>
      <c r="O36" s="103"/>
      <c r="P36" s="104"/>
      <c r="Q36" s="102"/>
      <c r="R36" s="103"/>
      <c r="S36" s="104"/>
      <c r="T36" s="102"/>
      <c r="U36" s="103"/>
      <c r="V36" s="104"/>
      <c r="W36" s="201"/>
      <c r="X36" s="202"/>
      <c r="Y36" s="203"/>
      <c r="Z36" s="201"/>
      <c r="AA36" s="202"/>
      <c r="AB36" s="104"/>
      <c r="AC36" s="102"/>
      <c r="AD36" s="103"/>
      <c r="AE36" s="104"/>
      <c r="AF36" s="201"/>
      <c r="AG36" s="202"/>
      <c r="AH36" s="203"/>
      <c r="AI36" s="201"/>
      <c r="AJ36" s="202"/>
      <c r="AK36" s="203"/>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203"/>
      <c r="BJ36" s="201"/>
      <c r="BK36" s="103"/>
      <c r="BL36" s="203"/>
      <c r="BM36" s="201"/>
      <c r="BN36" s="202"/>
      <c r="BO36" s="104"/>
      <c r="BP36" s="102"/>
      <c r="BQ36" s="103"/>
      <c r="BR36" s="104"/>
      <c r="BS36" s="102"/>
      <c r="BT36" s="103"/>
      <c r="BU36" s="104"/>
      <c r="BV36" s="102"/>
      <c r="BW36" s="103"/>
      <c r="BX36" s="104"/>
      <c r="BY36" s="102"/>
      <c r="BZ36" s="103"/>
      <c r="CA36" s="104"/>
      <c r="CB36" s="201"/>
      <c r="CC36" s="202"/>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203"/>
      <c r="JC36" s="201"/>
      <c r="JD36" s="202"/>
      <c r="JE36" s="203"/>
      <c r="JF36" s="201"/>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19"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49"/>
      <c r="NJ37" s="147"/>
      <c r="NK37" s="148"/>
      <c r="NL37" s="149"/>
      <c r="NM37" s="147"/>
      <c r="NN37" s="148"/>
      <c r="NO37" s="149"/>
      <c r="NP37" s="147"/>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20"/>
      <c r="C38" s="107">
        <v>5</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202"/>
      <c r="JH38" s="203"/>
      <c r="JI38" s="201"/>
      <c r="JJ38" s="202"/>
      <c r="JK38" s="203"/>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19"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49"/>
      <c r="AC39" s="147"/>
      <c r="AD39" s="148"/>
      <c r="AE39" s="149"/>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48"/>
      <c r="DW39" s="149"/>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47"/>
      <c r="OO39" s="148"/>
      <c r="OP39" s="149"/>
      <c r="OQ39" s="147"/>
      <c r="OR39" s="148"/>
      <c r="OS39" s="149"/>
      <c r="OT39" s="147"/>
      <c r="OU39" s="148"/>
      <c r="OV39" s="149"/>
      <c r="OW39" s="147"/>
      <c r="OX39" s="148"/>
      <c r="OY39" s="98"/>
      <c r="OZ39" s="96"/>
      <c r="PA39" s="97"/>
      <c r="PB39" s="98"/>
      <c r="PC39" s="96"/>
      <c r="PD39" s="148"/>
      <c r="PE39" s="149"/>
      <c r="PF39" s="147"/>
      <c r="PG39" s="148"/>
      <c r="PH39" s="149"/>
      <c r="PI39" s="147"/>
      <c r="PJ39" s="148"/>
      <c r="PK39" s="98"/>
      <c r="PL39" s="96"/>
      <c r="PM39" s="97"/>
      <c r="PN39" s="98"/>
      <c r="PO39" s="96"/>
      <c r="PP39" s="148"/>
      <c r="PQ39" s="149"/>
      <c r="PR39" s="147"/>
      <c r="PS39" s="148"/>
      <c r="PT39" s="149"/>
      <c r="PU39" s="147"/>
      <c r="PV39" s="148"/>
      <c r="PW39" s="149"/>
      <c r="PX39" s="147"/>
      <c r="PY39" s="148"/>
      <c r="PZ39" s="149"/>
      <c r="QA39" s="147"/>
      <c r="QB39" s="148"/>
      <c r="QC39" s="149"/>
      <c r="QD39" s="147"/>
      <c r="QE39" s="148"/>
      <c r="QF39" s="149"/>
      <c r="QG39" s="147"/>
      <c r="QH39" s="148"/>
      <c r="QI39" s="149"/>
      <c r="QJ39" s="147"/>
      <c r="QK39" s="176"/>
      <c r="QL39" s="95"/>
      <c r="QM39" s="96"/>
      <c r="QN39" s="97"/>
      <c r="QO39" s="98"/>
      <c r="QP39" s="96"/>
      <c r="QQ39" s="148"/>
      <c r="QR39" s="149"/>
      <c r="QS39" s="147"/>
      <c r="QT39" s="148"/>
      <c r="QU39" s="149"/>
      <c r="QV39" s="147"/>
      <c r="QW39" s="148"/>
      <c r="QX39" s="149"/>
      <c r="QY39" s="147"/>
      <c r="QZ39" s="148"/>
      <c r="RA39" s="149"/>
      <c r="RB39" s="147"/>
      <c r="RC39" s="148"/>
      <c r="RD39" s="149"/>
      <c r="RE39" s="147"/>
      <c r="RF39" s="148"/>
      <c r="RG39" s="149"/>
      <c r="RH39" s="147"/>
      <c r="RI39" s="148"/>
      <c r="RJ39" s="98"/>
      <c r="RK39" s="96"/>
      <c r="RL39" s="97"/>
      <c r="RM39" s="98"/>
      <c r="RN39" s="96"/>
      <c r="RO39" s="148"/>
      <c r="RP39" s="149"/>
      <c r="RQ39" s="147"/>
      <c r="RR39" s="148"/>
      <c r="RS39" s="149"/>
      <c r="RT39" s="147"/>
      <c r="RU39" s="148"/>
      <c r="RV39" s="149"/>
      <c r="RW39" s="147"/>
      <c r="RX39" s="148"/>
      <c r="RY39" s="149"/>
      <c r="RZ39" s="147"/>
      <c r="SA39" s="148"/>
      <c r="SB39" s="149"/>
      <c r="SC39" s="147"/>
      <c r="SD39" s="148"/>
      <c r="SE39" s="149"/>
      <c r="SF39" s="147"/>
      <c r="SG39" s="148"/>
      <c r="SH39" s="149"/>
      <c r="SI39" s="147"/>
      <c r="SJ39" s="148"/>
      <c r="SK39" s="98"/>
      <c r="SL39" s="96"/>
      <c r="SM39" s="97"/>
      <c r="SN39" s="98"/>
      <c r="SO39" s="96"/>
      <c r="SP39" s="148"/>
      <c r="SQ39" s="149"/>
      <c r="SR39" s="147"/>
      <c r="SS39" s="148"/>
      <c r="ST39" s="149"/>
      <c r="SU39" s="147"/>
      <c r="SV39" s="148"/>
      <c r="SW39" s="98"/>
      <c r="SX39" s="96"/>
      <c r="SY39" s="97"/>
      <c r="SZ39" s="98"/>
      <c r="TA39" s="96"/>
      <c r="TB39" s="148"/>
      <c r="TC39" s="149"/>
      <c r="TD39" s="147"/>
      <c r="TE39" s="148"/>
      <c r="TF39" s="149"/>
      <c r="TG39" s="147"/>
      <c r="TH39" s="148"/>
      <c r="TI39" s="149"/>
      <c r="TJ39" s="147"/>
      <c r="TK39" s="148"/>
      <c r="TL39" s="149"/>
      <c r="TM39" s="147"/>
      <c r="TN39" s="148"/>
      <c r="TO39" s="149"/>
      <c r="TP39" s="147"/>
      <c r="TQ39" s="148"/>
      <c r="TR39" s="149"/>
      <c r="TS39" s="147"/>
      <c r="TT39" s="148"/>
      <c r="TU39" s="149"/>
      <c r="TV39" s="147"/>
      <c r="TW39" s="176"/>
      <c r="TX39" s="95"/>
      <c r="TY39" s="96"/>
      <c r="TZ39" s="97"/>
      <c r="UA39" s="98"/>
      <c r="UB39" s="96"/>
      <c r="UC39" s="148"/>
      <c r="UD39" s="149"/>
      <c r="UE39" s="147"/>
      <c r="UF39" s="148"/>
      <c r="UG39" s="149"/>
      <c r="UH39" s="147"/>
      <c r="UI39" s="148"/>
      <c r="UJ39" s="149"/>
      <c r="UK39" s="147"/>
      <c r="UL39" s="148"/>
      <c r="UM39" s="149"/>
      <c r="UN39" s="147"/>
      <c r="UO39" s="148"/>
      <c r="UP39" s="149"/>
      <c r="UQ39" s="147"/>
      <c r="UR39" s="148"/>
      <c r="US39" s="149"/>
      <c r="UT39" s="147"/>
      <c r="UU39" s="148"/>
      <c r="UV39" s="98"/>
      <c r="UW39" s="96"/>
      <c r="UX39" s="97"/>
      <c r="UY39" s="98"/>
      <c r="UZ39" s="96"/>
      <c r="VA39" s="148"/>
      <c r="VB39" s="149"/>
      <c r="VC39" s="147"/>
      <c r="VD39" s="148"/>
      <c r="VE39" s="149"/>
      <c r="VF39" s="147"/>
      <c r="VG39" s="148"/>
      <c r="VH39" s="149"/>
      <c r="VI39" s="147"/>
      <c r="VJ39" s="148"/>
      <c r="VK39" s="149"/>
      <c r="VL39" s="147"/>
      <c r="VM39" s="148"/>
      <c r="VN39" s="149"/>
      <c r="VO39" s="147"/>
      <c r="VP39" s="148"/>
      <c r="VQ39" s="149"/>
      <c r="VR39" s="147"/>
      <c r="VS39" s="148"/>
      <c r="VT39" s="149"/>
      <c r="VU39" s="147"/>
      <c r="VV39" s="148"/>
      <c r="VW39" s="98"/>
      <c r="VX39" s="96"/>
      <c r="VY39" s="97"/>
      <c r="VZ39" s="98"/>
      <c r="WA39" s="96"/>
      <c r="WB39" s="148"/>
      <c r="WC39" s="149"/>
      <c r="WD39" s="147"/>
      <c r="WE39" s="148"/>
      <c r="WF39" s="149"/>
      <c r="WG39" s="147"/>
      <c r="WH39" s="148"/>
      <c r="WI39" s="98"/>
      <c r="WJ39" s="96"/>
      <c r="WK39" s="97"/>
      <c r="WL39" s="98"/>
      <c r="WM39" s="96"/>
      <c r="WN39" s="148"/>
      <c r="WO39" s="149"/>
      <c r="WP39" s="147"/>
      <c r="WQ39" s="148"/>
      <c r="WR39" s="149"/>
      <c r="WS39" s="147"/>
      <c r="WT39" s="148"/>
      <c r="WU39" s="149"/>
      <c r="WV39" s="147"/>
      <c r="WW39" s="148"/>
      <c r="WX39" s="149"/>
      <c r="WY39" s="147"/>
      <c r="WZ39" s="148"/>
      <c r="XA39" s="149"/>
      <c r="XB39" s="147"/>
      <c r="XC39" s="148"/>
      <c r="XD39" s="149"/>
      <c r="XE39" s="147"/>
      <c r="XF39" s="148"/>
      <c r="XG39" s="149"/>
      <c r="XH39" s="147"/>
      <c r="XI39" s="176"/>
      <c r="XJ39" s="95"/>
      <c r="XK39" s="96"/>
      <c r="XL39" s="97"/>
      <c r="XM39" s="98"/>
      <c r="XN39" s="96"/>
      <c r="XO39" s="148"/>
      <c r="XP39" s="149"/>
      <c r="XQ39" s="147"/>
      <c r="XR39" s="148"/>
      <c r="XS39" s="149"/>
      <c r="XT39" s="147"/>
      <c r="XU39" s="148"/>
      <c r="XV39" s="149"/>
      <c r="XW39" s="147"/>
      <c r="XX39" s="148"/>
      <c r="XY39" s="149"/>
      <c r="XZ39" s="147"/>
      <c r="YA39" s="148"/>
      <c r="YB39" s="149"/>
      <c r="YC39" s="147"/>
      <c r="YD39" s="148"/>
      <c r="YE39" s="149"/>
      <c r="YF39" s="147"/>
      <c r="YG39" s="148"/>
      <c r="YH39" s="98"/>
      <c r="YI39" s="96"/>
      <c r="YJ39" s="97"/>
      <c r="YK39" s="98"/>
      <c r="YL39" s="96"/>
      <c r="YM39" s="148"/>
      <c r="YN39" s="149"/>
      <c r="YO39" s="147"/>
      <c r="YP39" s="148"/>
      <c r="YQ39" s="149"/>
      <c r="YR39" s="147"/>
      <c r="YS39" s="148"/>
      <c r="YT39" s="149"/>
      <c r="YU39" s="147"/>
      <c r="YV39" s="148"/>
      <c r="YW39" s="149"/>
      <c r="YX39" s="147"/>
      <c r="YY39" s="148"/>
      <c r="YZ39" s="149"/>
      <c r="ZA39" s="147"/>
      <c r="ZB39" s="148"/>
      <c r="ZC39" s="149"/>
      <c r="ZD39" s="147"/>
      <c r="ZE39" s="148"/>
      <c r="ZF39" s="149"/>
      <c r="ZG39" s="147"/>
      <c r="ZH39" s="148"/>
      <c r="ZI39" s="98"/>
      <c r="ZJ39" s="96"/>
      <c r="ZK39" s="97"/>
      <c r="ZL39" s="98"/>
      <c r="ZM39" s="96"/>
      <c r="ZN39" s="148"/>
      <c r="ZO39" s="149"/>
      <c r="ZP39" s="147"/>
      <c r="ZQ39" s="148"/>
      <c r="ZR39" s="149"/>
      <c r="ZS39" s="147"/>
      <c r="ZT39" s="148"/>
      <c r="ZU39" s="98"/>
      <c r="ZV39" s="96"/>
      <c r="ZW39" s="97"/>
      <c r="ZX39" s="98"/>
      <c r="ZY39" s="96"/>
      <c r="ZZ39" s="148"/>
      <c r="AAA39" s="149"/>
      <c r="AAB39" s="147"/>
      <c r="AAC39" s="148"/>
      <c r="AAD39" s="149"/>
      <c r="AAE39" s="147"/>
      <c r="AAF39" s="148"/>
      <c r="AAG39" s="149"/>
      <c r="AAH39" s="147"/>
      <c r="AAI39" s="148"/>
      <c r="AAJ39" s="149"/>
      <c r="AAK39" s="147"/>
      <c r="AAL39" s="148"/>
      <c r="AAM39" s="149"/>
      <c r="AAN39" s="147"/>
      <c r="AAO39" s="148"/>
      <c r="AAP39" s="149"/>
      <c r="AAQ39" s="147"/>
      <c r="AAR39" s="148"/>
      <c r="AAS39" s="149"/>
      <c r="AAT39" s="147"/>
      <c r="AAU39" s="176"/>
      <c r="AAV39" s="95"/>
      <c r="AAW39" s="96"/>
      <c r="AAX39" s="97"/>
      <c r="AAY39" s="98"/>
      <c r="AAZ39" s="96"/>
      <c r="ABA39" s="148"/>
      <c r="ABB39" s="149"/>
      <c r="ABC39" s="147"/>
      <c r="ABD39" s="148"/>
      <c r="ABE39" s="149"/>
      <c r="ABF39" s="147"/>
      <c r="ABG39" s="148"/>
      <c r="ABH39" s="149"/>
      <c r="ABI39" s="147"/>
      <c r="ABJ39" s="148"/>
      <c r="ABK39" s="149"/>
      <c r="ABL39" s="147"/>
      <c r="ABM39" s="148"/>
      <c r="ABN39" s="149"/>
      <c r="ABO39" s="147"/>
      <c r="ABP39" s="148"/>
      <c r="ABQ39" s="149"/>
      <c r="ABR39" s="147"/>
      <c r="ABS39" s="148"/>
      <c r="ABT39" s="98"/>
      <c r="ABU39" s="96"/>
      <c r="ABV39" s="97"/>
      <c r="ABW39" s="98"/>
      <c r="ABX39" s="96"/>
      <c r="ABY39" s="148"/>
      <c r="ABZ39" s="149"/>
      <c r="ACA39" s="147"/>
      <c r="ACB39" s="148"/>
      <c r="ACC39" s="149"/>
      <c r="ACD39" s="147"/>
      <c r="ACE39" s="148"/>
      <c r="ACF39" s="149"/>
      <c r="ACG39" s="147"/>
      <c r="ACH39" s="148"/>
      <c r="ACI39" s="149"/>
      <c r="ACJ39" s="147"/>
      <c r="ACK39" s="148"/>
      <c r="ACL39" s="149"/>
      <c r="ACM39" s="147"/>
      <c r="ACN39" s="148"/>
      <c r="ACO39" s="149"/>
      <c r="ACP39" s="147"/>
      <c r="ACQ39" s="148"/>
      <c r="ACR39" s="149"/>
      <c r="ACS39" s="147"/>
      <c r="ACT39" s="148"/>
      <c r="ACU39" s="98"/>
      <c r="ACV39" s="96"/>
      <c r="ACW39" s="97"/>
      <c r="ACX39" s="98"/>
      <c r="ACY39" s="96"/>
      <c r="ACZ39" s="148"/>
      <c r="ADA39" s="149"/>
      <c r="ADB39" s="147"/>
      <c r="ADC39" s="148"/>
      <c r="ADD39" s="149"/>
      <c r="ADE39" s="147"/>
      <c r="ADF39" s="148"/>
      <c r="ADG39" s="98"/>
      <c r="ADH39" s="96"/>
      <c r="ADI39" s="97"/>
      <c r="ADJ39" s="98"/>
      <c r="ADK39" s="96"/>
      <c r="ADL39" s="148"/>
      <c r="ADM39" s="149"/>
      <c r="ADN39" s="147"/>
      <c r="ADO39" s="148"/>
      <c r="ADP39" s="149"/>
      <c r="ADQ39" s="147"/>
      <c r="ADR39" s="148"/>
      <c r="ADS39" s="149"/>
      <c r="ADT39" s="147"/>
      <c r="ADU39" s="148"/>
      <c r="ADV39" s="149"/>
      <c r="ADW39" s="147"/>
      <c r="ADX39" s="148"/>
      <c r="ADY39" s="149"/>
      <c r="ADZ39" s="147"/>
      <c r="AEA39" s="148"/>
      <c r="AEB39" s="149"/>
      <c r="AEC39" s="147"/>
      <c r="AED39" s="148"/>
      <c r="AEE39" s="149"/>
      <c r="AEF39" s="147"/>
      <c r="AEG39" s="176"/>
    </row>
    <row r="40" spans="2:813" ht="19.5" customHeight="1" x14ac:dyDescent="0.25">
      <c r="B40" s="220"/>
      <c r="C40" s="107">
        <v>167</v>
      </c>
      <c r="D40" s="205"/>
      <c r="E40" s="206"/>
      <c r="F40" s="207"/>
      <c r="G40" s="208"/>
      <c r="H40" s="206"/>
      <c r="I40" s="207"/>
      <c r="J40" s="208"/>
      <c r="K40" s="206"/>
      <c r="L40" s="207"/>
      <c r="M40" s="208"/>
      <c r="N40" s="206"/>
      <c r="O40" s="207"/>
      <c r="P40" s="208"/>
      <c r="Q40" s="206"/>
      <c r="R40" s="207"/>
      <c r="S40" s="208"/>
      <c r="T40" s="206"/>
      <c r="U40" s="207"/>
      <c r="V40" s="104"/>
      <c r="W40" s="102"/>
      <c r="X40" s="103"/>
      <c r="Y40" s="104"/>
      <c r="Z40" s="102"/>
      <c r="AA40" s="103"/>
      <c r="AB40" s="104"/>
      <c r="AC40" s="201"/>
      <c r="AD40" s="202"/>
      <c r="AE40" s="203"/>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203"/>
      <c r="BD40" s="201"/>
      <c r="BE40" s="202"/>
      <c r="BF40" s="203"/>
      <c r="BG40" s="102"/>
      <c r="BH40" s="103"/>
      <c r="BI40" s="104"/>
      <c r="BJ40" s="102"/>
      <c r="BK40" s="103"/>
      <c r="BL40" s="104"/>
      <c r="BM40" s="102"/>
      <c r="BN40" s="103"/>
      <c r="BO40" s="104"/>
      <c r="BP40" s="102"/>
      <c r="BQ40" s="202"/>
      <c r="BR40" s="203"/>
      <c r="BS40" s="201"/>
      <c r="BT40" s="202"/>
      <c r="BU40" s="203"/>
      <c r="BV40" s="201"/>
      <c r="BW40" s="202"/>
      <c r="BX40" s="203"/>
      <c r="BY40" s="201"/>
      <c r="BZ40" s="202"/>
      <c r="CA40" s="203"/>
      <c r="CB40" s="102"/>
      <c r="CC40" s="103"/>
      <c r="CD40" s="104"/>
      <c r="CE40" s="102"/>
      <c r="CF40" s="103"/>
      <c r="CG40" s="203"/>
      <c r="CH40" s="201"/>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102"/>
      <c r="EH40" s="103"/>
      <c r="EI40" s="104"/>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203"/>
      <c r="FK40" s="201"/>
      <c r="FL40" s="202"/>
      <c r="FM40" s="203"/>
      <c r="FN40" s="201"/>
      <c r="FO40" s="202"/>
      <c r="FP40" s="203"/>
      <c r="FQ40" s="201"/>
      <c r="FR40" s="202"/>
      <c r="FS40" s="203"/>
      <c r="FT40" s="201"/>
      <c r="FU40" s="202"/>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202"/>
      <c r="HX40" s="203"/>
      <c r="HY40" s="201"/>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203"/>
      <c r="IW40" s="201"/>
      <c r="IX40" s="202"/>
      <c r="IY40" s="203"/>
      <c r="IZ40" s="201"/>
      <c r="JA40" s="202"/>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203"/>
      <c r="NY40" s="201"/>
      <c r="NZ40" s="202"/>
      <c r="OA40" s="104"/>
      <c r="OB40" s="102"/>
      <c r="OC40" s="103"/>
      <c r="OD40" s="104"/>
      <c r="OE40" s="102"/>
      <c r="OF40" s="103"/>
      <c r="OG40" s="104"/>
      <c r="OH40" s="102"/>
      <c r="OI40" s="103"/>
      <c r="OJ40" s="104"/>
      <c r="OK40" s="102"/>
      <c r="OL40" s="103"/>
      <c r="OM40" s="104"/>
      <c r="ON40" s="102"/>
      <c r="OO40" s="103"/>
      <c r="OP40" s="104"/>
      <c r="OQ40" s="102"/>
      <c r="OR40" s="103"/>
      <c r="OS40" s="104"/>
      <c r="OT40" s="201"/>
      <c r="OU40" s="202"/>
      <c r="OV40" s="203"/>
      <c r="OW40" s="201"/>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201"/>
      <c r="QB40" s="202"/>
      <c r="QC40" s="203"/>
      <c r="QD40" s="201"/>
      <c r="QE40" s="202"/>
      <c r="QF40" s="203"/>
      <c r="QG40" s="201"/>
      <c r="QH40" s="202"/>
      <c r="QI40" s="203"/>
      <c r="QJ40" s="201"/>
      <c r="QK40" s="204"/>
      <c r="QL40" s="200"/>
      <c r="QM40" s="201"/>
      <c r="QN40" s="202"/>
      <c r="QO40" s="203"/>
      <c r="QP40" s="201"/>
      <c r="QQ40" s="202"/>
      <c r="QR40" s="203"/>
      <c r="QS40" s="201"/>
      <c r="QT40" s="202"/>
      <c r="QU40" s="203"/>
      <c r="QV40" s="201"/>
      <c r="QW40" s="103"/>
      <c r="QX40" s="203"/>
      <c r="QY40" s="201"/>
      <c r="QZ40" s="202"/>
      <c r="RA40" s="203"/>
      <c r="RB40" s="201"/>
      <c r="RC40" s="202"/>
      <c r="RD40" s="203"/>
      <c r="RE40" s="201"/>
      <c r="RF40" s="202"/>
      <c r="RG40" s="203"/>
      <c r="RH40" s="201"/>
      <c r="RI40" s="202"/>
      <c r="RJ40" s="104"/>
      <c r="RK40" s="102"/>
      <c r="RL40" s="103"/>
      <c r="RM40" s="104"/>
      <c r="RN40" s="102"/>
      <c r="RO40" s="103"/>
      <c r="RP40" s="104"/>
      <c r="RQ40" s="102"/>
      <c r="RR40" s="103"/>
      <c r="RS40" s="104"/>
      <c r="RT40" s="102"/>
      <c r="RU40" s="103"/>
      <c r="RV40" s="104"/>
      <c r="RW40" s="102"/>
      <c r="RX40" s="103"/>
      <c r="RY40" s="104"/>
      <c r="RZ40" s="102"/>
      <c r="SA40" s="103"/>
      <c r="SB40" s="104"/>
      <c r="SC40" s="201"/>
      <c r="SD40" s="202"/>
      <c r="SE40" s="203"/>
      <c r="SF40" s="201"/>
      <c r="SG40" s="202"/>
      <c r="SH40" s="203"/>
      <c r="SI40" s="201"/>
      <c r="SJ40" s="103"/>
      <c r="SK40" s="104"/>
      <c r="SL40" s="102"/>
      <c r="SM40" s="103"/>
      <c r="SN40" s="104"/>
      <c r="SO40" s="102"/>
      <c r="SP40" s="103"/>
      <c r="SQ40" s="104"/>
      <c r="SR40" s="102"/>
      <c r="SS40" s="103"/>
      <c r="ST40" s="104"/>
      <c r="SU40" s="102"/>
      <c r="SV40" s="103"/>
      <c r="SW40" s="203"/>
      <c r="SX40" s="201"/>
      <c r="SY40" s="202"/>
      <c r="SZ40" s="203"/>
      <c r="TA40" s="201"/>
      <c r="TB40" s="202"/>
      <c r="TC40" s="203"/>
      <c r="TD40" s="201"/>
      <c r="TE40" s="202"/>
      <c r="TF40" s="203"/>
      <c r="TG40" s="201"/>
      <c r="TH40" s="202"/>
      <c r="TI40" s="104"/>
      <c r="TJ40" s="102"/>
      <c r="TK40" s="103"/>
      <c r="TL40" s="104"/>
      <c r="TM40" s="102"/>
      <c r="TN40" s="103"/>
      <c r="TO40" s="104"/>
      <c r="TP40" s="102"/>
      <c r="TQ40" s="103"/>
      <c r="TR40" s="104"/>
      <c r="TS40" s="102"/>
      <c r="TT40" s="103"/>
      <c r="TU40" s="104"/>
      <c r="TV40" s="102"/>
      <c r="TW40" s="105"/>
      <c r="TX40" s="200"/>
      <c r="TY40" s="201"/>
      <c r="TZ40" s="202"/>
      <c r="UA40" s="203"/>
      <c r="UB40" s="201"/>
      <c r="UC40" s="202"/>
      <c r="UD40" s="104"/>
      <c r="UE40" s="102"/>
      <c r="UF40" s="103"/>
      <c r="UG40" s="104"/>
      <c r="UH40" s="102"/>
      <c r="UI40" s="103"/>
      <c r="UJ40" s="104"/>
      <c r="UK40" s="102"/>
      <c r="UL40" s="103"/>
      <c r="UM40" s="104"/>
      <c r="UN40" s="102"/>
      <c r="UO40" s="103"/>
      <c r="UP40" s="104"/>
      <c r="UQ40" s="102"/>
      <c r="UR40" s="103"/>
      <c r="US40" s="203"/>
      <c r="UT40" s="201"/>
      <c r="UU40" s="103"/>
      <c r="UV40" s="104"/>
      <c r="UW40" s="102"/>
      <c r="UX40" s="103"/>
      <c r="UY40" s="104"/>
      <c r="UZ40" s="102"/>
      <c r="VA40" s="103"/>
      <c r="VB40" s="104"/>
      <c r="VC40" s="102"/>
      <c r="VD40" s="103"/>
      <c r="VE40" s="104"/>
      <c r="VF40" s="102"/>
      <c r="VG40" s="103"/>
      <c r="VH40" s="104"/>
      <c r="VI40" s="102"/>
      <c r="VJ40" s="103"/>
      <c r="VK40" s="104"/>
      <c r="VL40" s="102"/>
      <c r="VM40" s="103"/>
      <c r="VN40" s="104"/>
      <c r="VO40" s="102"/>
      <c r="VP40" s="103"/>
      <c r="VQ40" s="104"/>
      <c r="VR40" s="102"/>
      <c r="VS40" s="103"/>
      <c r="VT40" s="104"/>
      <c r="VU40" s="102"/>
      <c r="VV40" s="103"/>
      <c r="VW40" s="104"/>
      <c r="VX40" s="102"/>
      <c r="VY40" s="202"/>
      <c r="VZ40" s="203"/>
      <c r="WA40" s="201"/>
      <c r="WB40" s="202"/>
      <c r="WC40" s="203"/>
      <c r="WD40" s="201"/>
      <c r="WE40" s="202"/>
      <c r="WF40" s="203"/>
      <c r="WG40" s="201"/>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202"/>
      <c r="XY40" s="203"/>
      <c r="XZ40" s="201"/>
      <c r="YA40" s="202"/>
      <c r="YB40" s="203"/>
      <c r="YC40" s="201"/>
      <c r="YD40" s="202"/>
      <c r="YE40" s="203"/>
      <c r="YF40" s="201"/>
      <c r="YG40" s="103"/>
      <c r="YH40" s="203"/>
      <c r="YI40" s="201"/>
      <c r="YJ40" s="202"/>
      <c r="YK40" s="203"/>
      <c r="YL40" s="201"/>
      <c r="YM40" s="202"/>
      <c r="YN40" s="104"/>
      <c r="YO40" s="102"/>
      <c r="YP40" s="103"/>
      <c r="YQ40" s="104"/>
      <c r="YR40" s="102"/>
      <c r="YS40" s="103"/>
      <c r="YT40" s="104"/>
      <c r="YU40" s="102"/>
      <c r="YV40" s="103"/>
      <c r="YW40" s="203"/>
      <c r="YX40" s="201"/>
      <c r="YY40" s="202"/>
      <c r="YZ40" s="203"/>
      <c r="ZA40" s="201"/>
      <c r="ZB40" s="202"/>
      <c r="ZC40" s="203"/>
      <c r="ZD40" s="201"/>
      <c r="ZE40" s="202"/>
      <c r="ZF40" s="203"/>
      <c r="ZG40" s="201"/>
      <c r="ZH40" s="202"/>
      <c r="ZI40" s="104"/>
      <c r="ZJ40" s="201"/>
      <c r="ZK40" s="202"/>
      <c r="ZL40" s="203"/>
      <c r="ZM40" s="201"/>
      <c r="ZN40" s="103"/>
      <c r="ZO40" s="203"/>
      <c r="ZP40" s="201"/>
      <c r="ZQ40" s="202"/>
      <c r="ZR40" s="203"/>
      <c r="ZS40" s="201"/>
      <c r="ZT40" s="202"/>
      <c r="ZU40" s="104"/>
      <c r="ZV40" s="102"/>
      <c r="ZW40" s="103"/>
      <c r="ZX40" s="104"/>
      <c r="ZY40" s="102"/>
      <c r="ZZ40" s="103"/>
      <c r="AAA40" s="104"/>
      <c r="AAB40" s="102"/>
      <c r="AAC40" s="103"/>
      <c r="AAD40" s="104"/>
      <c r="AAE40" s="102"/>
      <c r="AAF40" s="103"/>
      <c r="AAG40" s="104"/>
      <c r="AAH40" s="102"/>
      <c r="AAI40" s="103"/>
      <c r="AAJ40" s="203"/>
      <c r="AAK40" s="201"/>
      <c r="AAL40" s="202"/>
      <c r="AAM40" s="203"/>
      <c r="AAN40" s="201"/>
      <c r="AAO40" s="202"/>
      <c r="AAP40" s="203"/>
      <c r="AAQ40" s="201"/>
      <c r="AAR40" s="202"/>
      <c r="AAS40" s="203"/>
      <c r="AAT40" s="201"/>
      <c r="AAU40" s="204"/>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215">
        <f>C41/4</f>
        <v>202.5</v>
      </c>
      <c r="E41" s="216"/>
      <c r="F41" s="216"/>
      <c r="G41" s="216"/>
      <c r="H41" s="216"/>
      <c r="I41" s="216"/>
      <c r="J41" s="216"/>
      <c r="K41" s="216"/>
      <c r="L41" s="216"/>
      <c r="M41" s="210" t="s">
        <v>185</v>
      </c>
      <c r="N41" s="210"/>
      <c r="O41" s="210"/>
      <c r="P41" s="210"/>
      <c r="Q41" s="210"/>
      <c r="R41" s="210"/>
      <c r="S41" s="210"/>
      <c r="T41" s="210"/>
      <c r="U41" s="210"/>
      <c r="V41" s="111"/>
      <c r="W41" s="111"/>
      <c r="X41" s="111"/>
      <c r="Y41" s="111"/>
      <c r="Z41" s="111"/>
      <c r="AA41" s="111"/>
      <c r="AB41" s="111"/>
      <c r="AC41" s="111"/>
      <c r="AD41" s="111"/>
      <c r="AE41" s="111"/>
      <c r="AF41" s="111"/>
      <c r="AG41" s="111"/>
      <c r="AH41" s="111"/>
      <c r="AI41" s="111"/>
      <c r="AJ41" s="111"/>
      <c r="AK41" s="111"/>
      <c r="AL41" s="111"/>
      <c r="AM41" s="111"/>
      <c r="AN41" s="111"/>
      <c r="AO41" s="111"/>
      <c r="AP41" s="111"/>
      <c r="AQ41" s="111"/>
      <c r="AR41" s="111"/>
      <c r="AS41" s="111"/>
      <c r="AT41" s="111"/>
      <c r="AU41" s="111"/>
      <c r="AV41" s="111"/>
      <c r="AW41" s="111"/>
      <c r="AX41" s="111"/>
      <c r="AY41" s="111"/>
      <c r="AZ41" s="111"/>
      <c r="BA41" s="111"/>
      <c r="BB41" s="111"/>
      <c r="BC41" s="111"/>
      <c r="BD41" s="111"/>
      <c r="BE41" s="111"/>
      <c r="BF41" s="111"/>
      <c r="BG41" s="111"/>
      <c r="BH41" s="111"/>
      <c r="BI41" s="111"/>
      <c r="BJ41" s="111"/>
      <c r="BK41" s="111"/>
      <c r="BL41" s="111"/>
      <c r="BM41" s="111"/>
      <c r="BN41" s="111"/>
      <c r="BO41" s="111"/>
      <c r="BP41" s="111"/>
      <c r="BQ41" s="111"/>
      <c r="BR41" s="111"/>
      <c r="BS41" s="111"/>
      <c r="BT41" s="111"/>
      <c r="BU41" s="111"/>
      <c r="BV41" s="111"/>
      <c r="BW41" s="111"/>
      <c r="BX41" s="111"/>
      <c r="BY41" s="111"/>
      <c r="BZ41" s="111"/>
      <c r="CA41" s="111"/>
      <c r="CB41" s="111"/>
      <c r="CC41" s="111"/>
      <c r="CD41" s="111"/>
      <c r="CE41" s="111"/>
      <c r="CF41" s="111"/>
      <c r="CG41" s="111"/>
      <c r="CH41" s="111"/>
      <c r="CI41" s="111"/>
      <c r="CJ41" s="111"/>
      <c r="CK41" s="111"/>
      <c r="CL41" s="111"/>
      <c r="CM41" s="111"/>
      <c r="CN41" s="111"/>
      <c r="CO41" s="112"/>
      <c r="CP41" s="215">
        <f>C41/4</f>
        <v>202.5</v>
      </c>
      <c r="CQ41" s="216"/>
      <c r="CR41" s="216"/>
      <c r="CS41" s="216"/>
      <c r="CT41" s="216"/>
      <c r="CU41" s="216"/>
      <c r="CV41" s="216"/>
      <c r="CW41" s="216"/>
      <c r="CX41" s="216"/>
      <c r="CY41" s="210" t="s">
        <v>185</v>
      </c>
      <c r="CZ41" s="210"/>
      <c r="DA41" s="210"/>
      <c r="DB41" s="210"/>
      <c r="DC41" s="210"/>
      <c r="DD41" s="210"/>
      <c r="DE41" s="210"/>
      <c r="DF41" s="210"/>
      <c r="DG41" s="210"/>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1"/>
      <c r="EI41" s="111"/>
      <c r="EJ41" s="111"/>
      <c r="EK41" s="111"/>
      <c r="EL41" s="111"/>
      <c r="EM41" s="111"/>
      <c r="EN41" s="111"/>
      <c r="EO41" s="111"/>
      <c r="EP41" s="111"/>
      <c r="EQ41" s="111"/>
      <c r="ER41" s="111"/>
      <c r="ES41" s="111"/>
      <c r="ET41" s="111"/>
      <c r="EU41" s="111"/>
      <c r="EV41" s="111"/>
      <c r="EW41" s="111"/>
      <c r="EX41" s="111"/>
      <c r="EY41" s="111"/>
      <c r="EZ41" s="111"/>
      <c r="FA41" s="111"/>
      <c r="FB41" s="111"/>
      <c r="FC41" s="111"/>
      <c r="FD41" s="111"/>
      <c r="FE41" s="111"/>
      <c r="FF41" s="111"/>
      <c r="FG41" s="111"/>
      <c r="FH41" s="111"/>
      <c r="FI41" s="111"/>
      <c r="FJ41" s="111"/>
      <c r="FK41" s="111"/>
      <c r="FL41" s="111"/>
      <c r="FM41" s="111"/>
      <c r="FN41" s="111"/>
      <c r="FO41" s="111"/>
      <c r="FP41" s="111"/>
      <c r="FQ41" s="111"/>
      <c r="FR41" s="111"/>
      <c r="FS41" s="111"/>
      <c r="FT41" s="111"/>
      <c r="FU41" s="111"/>
      <c r="FV41" s="111"/>
      <c r="FW41" s="111"/>
      <c r="FX41" s="111"/>
      <c r="FY41" s="111"/>
      <c r="FZ41" s="111"/>
      <c r="GA41" s="112"/>
      <c r="GB41" s="215">
        <f>C41/4</f>
        <v>202.5</v>
      </c>
      <c r="GC41" s="216"/>
      <c r="GD41" s="216"/>
      <c r="GE41" s="216"/>
      <c r="GF41" s="216"/>
      <c r="GG41" s="216"/>
      <c r="GH41" s="216"/>
      <c r="GI41" s="216"/>
      <c r="GJ41" s="216"/>
      <c r="GK41" s="210" t="s">
        <v>185</v>
      </c>
      <c r="GL41" s="210"/>
      <c r="GM41" s="210"/>
      <c r="GN41" s="210"/>
      <c r="GO41" s="210"/>
      <c r="GP41" s="210"/>
      <c r="GQ41" s="210"/>
      <c r="GR41" s="210"/>
      <c r="GS41" s="210"/>
      <c r="GT41" s="111"/>
      <c r="GU41" s="111"/>
      <c r="GV41" s="111"/>
      <c r="GW41" s="111"/>
      <c r="GX41" s="111"/>
      <c r="GY41" s="111"/>
      <c r="GZ41" s="111"/>
      <c r="HA41" s="111"/>
      <c r="HB41" s="111"/>
      <c r="HC41" s="111"/>
      <c r="HD41" s="111"/>
      <c r="HE41" s="111"/>
      <c r="HF41" s="111"/>
      <c r="HG41" s="111"/>
      <c r="HH41" s="111"/>
      <c r="HI41" s="111"/>
      <c r="HJ41" s="111"/>
      <c r="HK41" s="111"/>
      <c r="HL41" s="111"/>
      <c r="HM41" s="111"/>
      <c r="HN41" s="111"/>
      <c r="HO41" s="111"/>
      <c r="HP41" s="111"/>
      <c r="HQ41" s="111"/>
      <c r="HR41" s="111"/>
      <c r="HS41" s="111"/>
      <c r="HT41" s="111"/>
      <c r="HU41" s="111"/>
      <c r="HV41" s="111"/>
      <c r="HW41" s="111"/>
      <c r="HX41" s="111"/>
      <c r="HY41" s="111"/>
      <c r="HZ41" s="111"/>
      <c r="IA41" s="111"/>
      <c r="IB41" s="111"/>
      <c r="IC41" s="111"/>
      <c r="ID41" s="111"/>
      <c r="IE41" s="111"/>
      <c r="IF41" s="111"/>
      <c r="IG41" s="111"/>
      <c r="IH41" s="111"/>
      <c r="II41" s="111"/>
      <c r="IJ41" s="111"/>
      <c r="IK41" s="111"/>
      <c r="IL41" s="111"/>
      <c r="IM41" s="111"/>
      <c r="IN41" s="111"/>
      <c r="IO41" s="111"/>
      <c r="IP41" s="111"/>
      <c r="IQ41" s="111"/>
      <c r="IR41" s="111"/>
      <c r="IS41" s="111"/>
      <c r="IT41" s="111"/>
      <c r="IU41" s="111"/>
      <c r="IV41" s="111"/>
      <c r="IW41" s="111"/>
      <c r="IX41" s="111"/>
      <c r="IY41" s="111"/>
      <c r="IZ41" s="111"/>
      <c r="JA41" s="111"/>
      <c r="JB41" s="111"/>
      <c r="JC41" s="111"/>
      <c r="JD41" s="111"/>
      <c r="JE41" s="111"/>
      <c r="JF41" s="111"/>
      <c r="JG41" s="111"/>
      <c r="JH41" s="111"/>
      <c r="JI41" s="111"/>
      <c r="JJ41" s="111"/>
      <c r="JK41" s="111"/>
      <c r="JL41" s="111"/>
      <c r="JM41" s="112"/>
      <c r="JN41" s="215"/>
      <c r="JO41" s="216"/>
      <c r="JP41" s="216"/>
      <c r="JQ41" s="216"/>
      <c r="JR41" s="216"/>
      <c r="JS41" s="216"/>
      <c r="JT41" s="216"/>
      <c r="JU41" s="216"/>
      <c r="JV41" s="216"/>
      <c r="JW41" s="210"/>
      <c r="JX41" s="210"/>
      <c r="JY41" s="210"/>
      <c r="JZ41" s="210"/>
      <c r="KA41" s="210"/>
      <c r="KB41" s="210"/>
      <c r="KC41" s="210"/>
      <c r="KD41" s="210"/>
      <c r="KE41" s="210"/>
      <c r="KF41" s="111"/>
      <c r="KG41" s="111"/>
      <c r="KH41" s="111"/>
      <c r="KI41" s="111"/>
      <c r="KJ41" s="111"/>
      <c r="KK41" s="111"/>
      <c r="KL41" s="111"/>
      <c r="KM41" s="111"/>
      <c r="KN41" s="111"/>
      <c r="KO41" s="111"/>
      <c r="KP41" s="111"/>
      <c r="KQ41" s="111"/>
      <c r="KR41" s="111"/>
      <c r="KS41" s="111"/>
      <c r="KT41" s="111"/>
      <c r="KU41" s="111"/>
      <c r="KV41" s="111"/>
      <c r="KW41" s="111"/>
      <c r="KX41" s="111"/>
      <c r="KY41" s="111"/>
      <c r="KZ41" s="111"/>
      <c r="LA41" s="111"/>
      <c r="LB41" s="111"/>
      <c r="LC41" s="111"/>
      <c r="LD41" s="111"/>
      <c r="LE41" s="111"/>
      <c r="LF41" s="111"/>
      <c r="LG41" s="111"/>
      <c r="LH41" s="111"/>
      <c r="LI41" s="111"/>
      <c r="LJ41" s="111"/>
      <c r="LK41" s="111"/>
      <c r="LL41" s="111"/>
      <c r="LM41" s="111"/>
      <c r="LN41" s="111"/>
      <c r="LO41" s="111"/>
      <c r="LP41" s="111"/>
      <c r="LQ41" s="111"/>
      <c r="LR41" s="111"/>
      <c r="LS41" s="111"/>
      <c r="LT41" s="111"/>
      <c r="LU41" s="111"/>
      <c r="LV41" s="111"/>
      <c r="LW41" s="111"/>
      <c r="LX41" s="111"/>
      <c r="LY41" s="111"/>
      <c r="LZ41" s="111"/>
      <c r="MA41" s="111"/>
      <c r="MB41" s="111"/>
      <c r="MC41" s="111"/>
      <c r="MD41" s="111"/>
      <c r="ME41" s="111"/>
      <c r="MF41" s="111"/>
      <c r="MG41" s="111"/>
      <c r="MH41" s="111"/>
      <c r="MI41" s="111"/>
      <c r="MJ41" s="111"/>
      <c r="MK41" s="111"/>
      <c r="ML41" s="111"/>
      <c r="MM41" s="111"/>
      <c r="MN41" s="111"/>
      <c r="MO41" s="111"/>
      <c r="MP41" s="111"/>
      <c r="MQ41" s="111"/>
      <c r="MR41" s="111"/>
      <c r="MS41" s="111"/>
      <c r="MT41" s="111"/>
      <c r="MU41" s="111"/>
      <c r="MV41" s="111"/>
      <c r="MW41" s="111"/>
      <c r="MX41" s="111"/>
      <c r="MY41" s="112"/>
      <c r="MZ41" s="215">
        <f>C41/4</f>
        <v>202.5</v>
      </c>
      <c r="NA41" s="216"/>
      <c r="NB41" s="216"/>
      <c r="NC41" s="216"/>
      <c r="ND41" s="216"/>
      <c r="NE41" s="216"/>
      <c r="NF41" s="216"/>
      <c r="NG41" s="216"/>
      <c r="NH41" s="216"/>
      <c r="NI41" s="210" t="s">
        <v>185</v>
      </c>
      <c r="NJ41" s="210"/>
      <c r="NK41" s="210"/>
      <c r="NL41" s="210"/>
      <c r="NM41" s="210"/>
      <c r="NN41" s="210"/>
      <c r="NO41" s="210"/>
      <c r="NP41" s="210"/>
      <c r="NQ41" s="210"/>
      <c r="NR41" s="111"/>
      <c r="NS41" s="111"/>
      <c r="NT41" s="111"/>
      <c r="NU41" s="111"/>
      <c r="NV41" s="111"/>
      <c r="NW41" s="111"/>
      <c r="NX41" s="111"/>
      <c r="NY41" s="111"/>
      <c r="NZ41" s="111"/>
      <c r="OA41" s="111"/>
      <c r="OB41" s="111"/>
      <c r="OC41" s="111"/>
      <c r="OD41" s="111"/>
      <c r="OE41" s="111"/>
      <c r="OF41" s="111"/>
      <c r="OG41" s="111"/>
      <c r="OH41" s="111"/>
      <c r="OI41" s="111"/>
      <c r="OJ41" s="111"/>
      <c r="OK41" s="111"/>
      <c r="OL41" s="111"/>
      <c r="OM41" s="111"/>
      <c r="ON41" s="111"/>
      <c r="OO41" s="111"/>
      <c r="OP41" s="111"/>
      <c r="OQ41" s="111"/>
      <c r="OR41" s="111"/>
      <c r="OS41" s="111"/>
      <c r="OT41" s="111"/>
      <c r="OU41" s="111"/>
      <c r="OV41" s="111"/>
      <c r="OW41" s="111"/>
      <c r="OX41" s="111"/>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11"/>
      <c r="PU41" s="111"/>
      <c r="PV41" s="111"/>
      <c r="PW41" s="111"/>
      <c r="PX41" s="111"/>
      <c r="PY41" s="111"/>
      <c r="PZ41" s="111"/>
      <c r="QA41" s="111"/>
      <c r="QB41" s="111"/>
      <c r="QC41" s="111"/>
      <c r="QD41" s="111"/>
      <c r="QE41" s="111"/>
      <c r="QF41" s="111"/>
      <c r="QG41" s="111"/>
      <c r="QH41" s="111"/>
      <c r="QI41" s="111"/>
      <c r="QJ41" s="111"/>
      <c r="QK41" s="112"/>
      <c r="QL41" s="215">
        <f>C41/4</f>
        <v>202.5</v>
      </c>
      <c r="QM41" s="216"/>
      <c r="QN41" s="216"/>
      <c r="QO41" s="216"/>
      <c r="QP41" s="216"/>
      <c r="QQ41" s="216"/>
      <c r="QR41" s="216"/>
      <c r="QS41" s="216"/>
      <c r="QT41" s="216"/>
      <c r="QU41" s="210" t="s">
        <v>185</v>
      </c>
      <c r="QV41" s="210"/>
      <c r="QW41" s="210"/>
      <c r="QX41" s="210"/>
      <c r="QY41" s="210"/>
      <c r="QZ41" s="210"/>
      <c r="RA41" s="210"/>
      <c r="RB41" s="210"/>
      <c r="RC41" s="210"/>
      <c r="RD41" s="111"/>
      <c r="RE41" s="111"/>
      <c r="RF41" s="111"/>
      <c r="RG41" s="111"/>
      <c r="RH41" s="111"/>
      <c r="RI41" s="111"/>
      <c r="RJ41" s="111"/>
      <c r="RK41" s="111"/>
      <c r="RL41" s="111"/>
      <c r="RM41" s="111"/>
      <c r="RN41" s="111"/>
      <c r="RO41" s="111"/>
      <c r="RP41" s="111"/>
      <c r="RQ41" s="111"/>
      <c r="RR41" s="111"/>
      <c r="RS41" s="111"/>
      <c r="RT41" s="111"/>
      <c r="RU41" s="111"/>
      <c r="RV41" s="111"/>
      <c r="RW41" s="111"/>
      <c r="RX41" s="111"/>
      <c r="RY41" s="111"/>
      <c r="RZ41" s="111"/>
      <c r="SA41" s="111"/>
      <c r="SB41" s="111"/>
      <c r="SC41" s="111"/>
      <c r="SD41" s="111"/>
      <c r="SE41" s="111"/>
      <c r="SF41" s="111"/>
      <c r="SG41" s="111"/>
      <c r="SH41" s="111"/>
      <c r="SI41" s="111"/>
      <c r="SJ41" s="111"/>
      <c r="SK41" s="111"/>
      <c r="SL41" s="111"/>
      <c r="SM41" s="111"/>
      <c r="SN41" s="111"/>
      <c r="SO41" s="111"/>
      <c r="SP41" s="111"/>
      <c r="SQ41" s="111"/>
      <c r="SR41" s="111"/>
      <c r="SS41" s="111"/>
      <c r="ST41" s="111"/>
      <c r="SU41" s="111"/>
      <c r="SV41" s="111"/>
      <c r="SW41" s="111"/>
      <c r="SX41" s="111"/>
      <c r="SY41" s="111"/>
      <c r="SZ41" s="111"/>
      <c r="TA41" s="111"/>
      <c r="TB41" s="111"/>
      <c r="TC41" s="111"/>
      <c r="TD41" s="111"/>
      <c r="TE41" s="111"/>
      <c r="TF41" s="111"/>
      <c r="TG41" s="111"/>
      <c r="TH41" s="111"/>
      <c r="TI41" s="111"/>
      <c r="TJ41" s="111"/>
      <c r="TK41" s="111"/>
      <c r="TL41" s="111"/>
      <c r="TM41" s="111"/>
      <c r="TN41" s="111"/>
      <c r="TO41" s="111"/>
      <c r="TP41" s="111"/>
      <c r="TQ41" s="111"/>
      <c r="TR41" s="111"/>
      <c r="TS41" s="111"/>
      <c r="TT41" s="111"/>
      <c r="TU41" s="111"/>
      <c r="TV41" s="111"/>
      <c r="TW41" s="112"/>
      <c r="TX41" s="215">
        <f>C41/4</f>
        <v>202.5</v>
      </c>
      <c r="TY41" s="216"/>
      <c r="TZ41" s="216"/>
      <c r="UA41" s="216"/>
      <c r="UB41" s="216"/>
      <c r="UC41" s="216"/>
      <c r="UD41" s="216"/>
      <c r="UE41" s="216"/>
      <c r="UF41" s="216"/>
      <c r="UG41" s="210" t="s">
        <v>185</v>
      </c>
      <c r="UH41" s="210"/>
      <c r="UI41" s="210"/>
      <c r="UJ41" s="210"/>
      <c r="UK41" s="210"/>
      <c r="UL41" s="210"/>
      <c r="UM41" s="210"/>
      <c r="UN41" s="210"/>
      <c r="UO41" s="210"/>
      <c r="UP41" s="111"/>
      <c r="UQ41" s="111"/>
      <c r="UR41" s="111"/>
      <c r="US41" s="111"/>
      <c r="UT41" s="111"/>
      <c r="UU41" s="111"/>
      <c r="UV41" s="111"/>
      <c r="UW41" s="111"/>
      <c r="UX41" s="111"/>
      <c r="UY41" s="111"/>
      <c r="UZ41" s="111"/>
      <c r="VA41" s="111"/>
      <c r="VB41" s="111"/>
      <c r="VC41" s="111"/>
      <c r="VD41" s="111"/>
      <c r="VE41" s="111"/>
      <c r="VF41" s="111"/>
      <c r="VG41" s="111"/>
      <c r="VH41" s="111"/>
      <c r="VI41" s="111"/>
      <c r="VJ41" s="111"/>
      <c r="VK41" s="111"/>
      <c r="VL41" s="111"/>
      <c r="VM41" s="111"/>
      <c r="VN41" s="111"/>
      <c r="VO41" s="111"/>
      <c r="VP41" s="111"/>
      <c r="VQ41" s="111"/>
      <c r="VR41" s="111"/>
      <c r="VS41" s="111"/>
      <c r="VT41" s="111"/>
      <c r="VU41" s="111"/>
      <c r="VV41" s="111"/>
      <c r="VW41" s="111"/>
      <c r="VX41" s="111"/>
      <c r="VY41" s="111"/>
      <c r="VZ41" s="111"/>
      <c r="WA41" s="111"/>
      <c r="WB41" s="111"/>
      <c r="WC41" s="111"/>
      <c r="WD41" s="111"/>
      <c r="WE41" s="111"/>
      <c r="WF41" s="111"/>
      <c r="WG41" s="111"/>
      <c r="WH41" s="111"/>
      <c r="WI41" s="111"/>
      <c r="WJ41" s="111"/>
      <c r="WK41" s="111"/>
      <c r="WL41" s="111"/>
      <c r="WM41" s="111"/>
      <c r="WN41" s="111"/>
      <c r="WO41" s="111"/>
      <c r="WP41" s="111"/>
      <c r="WQ41" s="111"/>
      <c r="WR41" s="111"/>
      <c r="WS41" s="111"/>
      <c r="WT41" s="111"/>
      <c r="WU41" s="111"/>
      <c r="WV41" s="111"/>
      <c r="WW41" s="111"/>
      <c r="WX41" s="111"/>
      <c r="WY41" s="111"/>
      <c r="WZ41" s="111"/>
      <c r="XA41" s="111"/>
      <c r="XB41" s="111"/>
      <c r="XC41" s="111"/>
      <c r="XD41" s="111"/>
      <c r="XE41" s="111"/>
      <c r="XF41" s="111"/>
      <c r="XG41" s="111"/>
      <c r="XH41" s="111"/>
      <c r="XI41" s="112"/>
      <c r="XJ41" s="215">
        <f>C41/4</f>
        <v>202.5</v>
      </c>
      <c r="XK41" s="216"/>
      <c r="XL41" s="216"/>
      <c r="XM41" s="216"/>
      <c r="XN41" s="216"/>
      <c r="XO41" s="216"/>
      <c r="XP41" s="216"/>
      <c r="XQ41" s="216"/>
      <c r="XR41" s="216"/>
      <c r="XS41" s="210" t="s">
        <v>185</v>
      </c>
      <c r="XT41" s="210"/>
      <c r="XU41" s="210"/>
      <c r="XV41" s="210"/>
      <c r="XW41" s="210"/>
      <c r="XX41" s="210"/>
      <c r="XY41" s="210"/>
      <c r="XZ41" s="210"/>
      <c r="YA41" s="210"/>
      <c r="YB41" s="111"/>
      <c r="YC41" s="111"/>
      <c r="YD41" s="111"/>
      <c r="YE41" s="111"/>
      <c r="YF41" s="111"/>
      <c r="YG41" s="111"/>
      <c r="YH41" s="111"/>
      <c r="YI41" s="111"/>
      <c r="YJ41" s="111"/>
      <c r="YK41" s="111"/>
      <c r="YL41" s="111"/>
      <c r="YM41" s="111"/>
      <c r="YN41" s="111"/>
      <c r="YO41" s="111"/>
      <c r="YP41" s="111"/>
      <c r="YQ41" s="111"/>
      <c r="YR41" s="111"/>
      <c r="YS41" s="111"/>
      <c r="YT41" s="111"/>
      <c r="YU41" s="111"/>
      <c r="YV41" s="111"/>
      <c r="YW41" s="111"/>
      <c r="YX41" s="111"/>
      <c r="YY41" s="111"/>
      <c r="YZ41" s="111"/>
      <c r="ZA41" s="111"/>
      <c r="ZB41" s="111"/>
      <c r="ZC41" s="111"/>
      <c r="ZD41" s="111"/>
      <c r="ZE41" s="111"/>
      <c r="ZF41" s="111"/>
      <c r="ZG41" s="111"/>
      <c r="ZH41" s="111"/>
      <c r="ZI41" s="111"/>
      <c r="ZJ41" s="111"/>
      <c r="ZK41" s="111"/>
      <c r="ZL41" s="111"/>
      <c r="ZM41" s="111"/>
      <c r="ZN41" s="111"/>
      <c r="ZO41" s="111"/>
      <c r="ZP41" s="111"/>
      <c r="ZQ41" s="111"/>
      <c r="ZR41" s="111"/>
      <c r="ZS41" s="111"/>
      <c r="ZT41" s="111"/>
      <c r="ZU41" s="111"/>
      <c r="ZV41" s="111"/>
      <c r="ZW41" s="111"/>
      <c r="ZX41" s="111"/>
      <c r="ZY41" s="111"/>
      <c r="ZZ41" s="111"/>
      <c r="AAA41" s="111"/>
      <c r="AAB41" s="111"/>
      <c r="AAC41" s="111"/>
      <c r="AAD41" s="111"/>
      <c r="AAE41" s="111"/>
      <c r="AAF41" s="111"/>
      <c r="AAG41" s="111"/>
      <c r="AAH41" s="111"/>
      <c r="AAI41" s="111"/>
      <c r="AAJ41" s="111"/>
      <c r="AAK41" s="111"/>
      <c r="AAL41" s="111"/>
      <c r="AAM41" s="111"/>
      <c r="AAN41" s="111"/>
      <c r="AAO41" s="111"/>
      <c r="AAP41" s="111"/>
      <c r="AAQ41" s="111"/>
      <c r="AAR41" s="111"/>
      <c r="AAS41" s="111"/>
      <c r="AAT41" s="111"/>
      <c r="AAU41" s="112"/>
      <c r="AAV41" s="215">
        <f>C41/4</f>
        <v>202.5</v>
      </c>
      <c r="AAW41" s="216"/>
      <c r="AAX41" s="216"/>
      <c r="AAY41" s="216"/>
      <c r="AAZ41" s="216"/>
      <c r="ABA41" s="216"/>
      <c r="ABB41" s="216"/>
      <c r="ABC41" s="216"/>
      <c r="ABD41" s="216"/>
      <c r="ABE41" s="210" t="s">
        <v>185</v>
      </c>
      <c r="ABF41" s="210"/>
      <c r="ABG41" s="210"/>
      <c r="ABH41" s="210"/>
      <c r="ABI41" s="210"/>
      <c r="ABJ41" s="210"/>
      <c r="ABK41" s="210"/>
      <c r="ABL41" s="210"/>
      <c r="ABM41" s="210"/>
      <c r="ABN41" s="111"/>
      <c r="ABO41" s="111"/>
      <c r="ABP41" s="111"/>
      <c r="ABQ41" s="111"/>
      <c r="ABR41" s="111"/>
      <c r="ABS41" s="111"/>
      <c r="ABT41" s="111"/>
      <c r="ABU41" s="111"/>
      <c r="ABV41" s="111"/>
      <c r="ABW41" s="111"/>
      <c r="ABX41" s="111"/>
      <c r="ABY41" s="111"/>
      <c r="ABZ41" s="111"/>
      <c r="ACA41" s="111"/>
      <c r="ACB41" s="111"/>
      <c r="ACC41" s="111"/>
      <c r="ACD41" s="111"/>
      <c r="ACE41" s="111"/>
      <c r="ACF41" s="111"/>
      <c r="ACG41" s="111"/>
      <c r="ACH41" s="111"/>
      <c r="ACI41" s="111"/>
      <c r="ACJ41" s="111"/>
      <c r="ACK41" s="111"/>
      <c r="ACL41" s="111"/>
      <c r="ACM41" s="111"/>
      <c r="ACN41" s="111"/>
      <c r="ACO41" s="111"/>
      <c r="ACP41" s="111"/>
      <c r="ACQ41" s="111"/>
      <c r="ACR41" s="111"/>
      <c r="ACS41" s="111"/>
      <c r="ACT41" s="111"/>
      <c r="ACU41" s="111"/>
      <c r="ACV41" s="111"/>
      <c r="ACW41" s="111"/>
      <c r="ACX41" s="111"/>
      <c r="ACY41" s="111"/>
      <c r="ACZ41" s="111"/>
      <c r="ADA41" s="111"/>
      <c r="ADB41" s="111"/>
      <c r="ADC41" s="111"/>
      <c r="ADD41" s="111"/>
      <c r="ADE41" s="111"/>
      <c r="ADF41" s="111"/>
      <c r="ADG41" s="111"/>
      <c r="ADH41" s="111"/>
      <c r="ADI41" s="111"/>
      <c r="ADJ41" s="111"/>
      <c r="ADK41" s="111"/>
      <c r="ADL41" s="111"/>
      <c r="ADM41" s="111"/>
      <c r="ADN41" s="111"/>
      <c r="ADO41" s="111"/>
      <c r="ADP41" s="111"/>
      <c r="ADQ41" s="111"/>
      <c r="ADR41" s="111"/>
      <c r="ADS41" s="111"/>
      <c r="ADT41" s="111"/>
      <c r="ADU41" s="111"/>
      <c r="ADV41" s="111"/>
      <c r="ADW41" s="111"/>
      <c r="ADX41" s="111"/>
      <c r="ADY41" s="111"/>
      <c r="ADZ41" s="111"/>
      <c r="AEA41" s="111"/>
      <c r="AEB41" s="111"/>
      <c r="AEC41" s="111"/>
      <c r="AED41" s="111"/>
      <c r="AEE41" s="111"/>
      <c r="AEF41" s="111"/>
      <c r="AEG41" s="112"/>
    </row>
    <row r="42" spans="2:813" ht="19.5" customHeight="1" thickBot="1" x14ac:dyDescent="0.3">
      <c r="B42" s="113" t="s">
        <v>16</v>
      </c>
      <c r="C42" s="114">
        <f>SUM($C$4,$C$6,$C$8,$C$10,$C$12,$C$14,$C$16,$C$18,$C$20,$C$22,$C$24,$C$26,$C$28,$C$30,$C$32,$C$34,$C$36,$C$38,$C$40)</f>
        <v>810</v>
      </c>
      <c r="D42" s="217">
        <f>C42/4</f>
        <v>202.5</v>
      </c>
      <c r="E42" s="218"/>
      <c r="F42" s="218"/>
      <c r="G42" s="218"/>
      <c r="H42" s="218"/>
      <c r="I42" s="218"/>
      <c r="J42" s="218"/>
      <c r="K42" s="218"/>
      <c r="L42" s="218"/>
      <c r="M42" s="209" t="s">
        <v>185</v>
      </c>
      <c r="N42" s="209"/>
      <c r="O42" s="209"/>
      <c r="P42" s="209"/>
      <c r="Q42" s="209"/>
      <c r="R42" s="209"/>
      <c r="S42" s="209"/>
      <c r="T42" s="209"/>
      <c r="U42" s="209"/>
      <c r="V42" s="115"/>
      <c r="W42" s="115"/>
      <c r="X42" s="115"/>
      <c r="Y42" s="115"/>
      <c r="Z42" s="115"/>
      <c r="AA42" s="115"/>
      <c r="AB42" s="115"/>
      <c r="AC42" s="115"/>
      <c r="AD42" s="115"/>
      <c r="AE42" s="115"/>
      <c r="AF42" s="115"/>
      <c r="AG42" s="115"/>
      <c r="AH42" s="115"/>
      <c r="AI42" s="115"/>
      <c r="AJ42" s="115"/>
      <c r="AK42" s="115"/>
      <c r="AL42" s="115"/>
      <c r="AM42" s="115"/>
      <c r="AN42" s="115"/>
      <c r="AO42" s="115"/>
      <c r="AP42" s="115"/>
      <c r="AQ42" s="115"/>
      <c r="AR42" s="115"/>
      <c r="AS42" s="115"/>
      <c r="AT42" s="115"/>
      <c r="AU42" s="115"/>
      <c r="AV42" s="115"/>
      <c r="AW42" s="115"/>
      <c r="AX42" s="115"/>
      <c r="AY42" s="115"/>
      <c r="AZ42" s="115"/>
      <c r="BA42" s="115"/>
      <c r="BB42" s="115"/>
      <c r="BC42" s="115"/>
      <c r="BD42" s="115"/>
      <c r="BE42" s="115"/>
      <c r="BF42" s="115"/>
      <c r="BG42" s="115"/>
      <c r="BH42" s="115"/>
      <c r="BI42" s="115"/>
      <c r="BJ42" s="115"/>
      <c r="BK42" s="115"/>
      <c r="BL42" s="115"/>
      <c r="BM42" s="115"/>
      <c r="BN42" s="115"/>
      <c r="BO42" s="115"/>
      <c r="BP42" s="115"/>
      <c r="BQ42" s="115"/>
      <c r="BR42" s="115"/>
      <c r="BS42" s="115"/>
      <c r="BT42" s="115"/>
      <c r="BU42" s="115"/>
      <c r="BV42" s="115"/>
      <c r="BW42" s="115"/>
      <c r="BX42" s="115"/>
      <c r="BY42" s="115"/>
      <c r="BZ42" s="115"/>
      <c r="CA42" s="115"/>
      <c r="CB42" s="115"/>
      <c r="CC42" s="115"/>
      <c r="CD42" s="115"/>
      <c r="CE42" s="115"/>
      <c r="CF42" s="115"/>
      <c r="CG42" s="115"/>
      <c r="CH42" s="115"/>
      <c r="CI42" s="115"/>
      <c r="CJ42" s="115"/>
      <c r="CK42" s="115"/>
      <c r="CL42" s="115"/>
      <c r="CM42" s="115"/>
      <c r="CN42" s="115"/>
      <c r="CO42" s="116"/>
      <c r="CP42" s="217">
        <f>C42/4</f>
        <v>202.5</v>
      </c>
      <c r="CQ42" s="218"/>
      <c r="CR42" s="218"/>
      <c r="CS42" s="218"/>
      <c r="CT42" s="218"/>
      <c r="CU42" s="218"/>
      <c r="CV42" s="218"/>
      <c r="CW42" s="218"/>
      <c r="CX42" s="218"/>
      <c r="CY42" s="209" t="s">
        <v>185</v>
      </c>
      <c r="CZ42" s="209"/>
      <c r="DA42" s="209"/>
      <c r="DB42" s="209"/>
      <c r="DC42" s="209"/>
      <c r="DD42" s="209"/>
      <c r="DE42" s="209"/>
      <c r="DF42" s="209"/>
      <c r="DG42" s="209"/>
      <c r="DH42" s="115"/>
      <c r="DI42" s="115"/>
      <c r="DJ42" s="115"/>
      <c r="DK42" s="115"/>
      <c r="DL42" s="115"/>
      <c r="DM42" s="115"/>
      <c r="DN42" s="115"/>
      <c r="DO42" s="115"/>
      <c r="DP42" s="115"/>
      <c r="DQ42" s="115"/>
      <c r="DR42" s="115"/>
      <c r="DS42" s="115"/>
      <c r="DT42" s="115"/>
      <c r="DU42" s="115"/>
      <c r="DV42" s="115"/>
      <c r="DW42" s="115"/>
      <c r="DX42" s="115"/>
      <c r="DY42" s="115"/>
      <c r="DZ42" s="115"/>
      <c r="EA42" s="115"/>
      <c r="EB42" s="115"/>
      <c r="EC42" s="115"/>
      <c r="ED42" s="115"/>
      <c r="EE42" s="115"/>
      <c r="EF42" s="115"/>
      <c r="EG42" s="115"/>
      <c r="EH42" s="115"/>
      <c r="EI42" s="115"/>
      <c r="EJ42" s="115"/>
      <c r="EK42" s="115"/>
      <c r="EL42" s="115"/>
      <c r="EM42" s="115"/>
      <c r="EN42" s="115"/>
      <c r="EO42" s="115"/>
      <c r="EP42" s="115"/>
      <c r="EQ42" s="115"/>
      <c r="ER42" s="115"/>
      <c r="ES42" s="115"/>
      <c r="ET42" s="115"/>
      <c r="EU42" s="115"/>
      <c r="EV42" s="115"/>
      <c r="EW42" s="115"/>
      <c r="EX42" s="115"/>
      <c r="EY42" s="115"/>
      <c r="EZ42" s="115"/>
      <c r="FA42" s="115"/>
      <c r="FB42" s="115"/>
      <c r="FC42" s="115"/>
      <c r="FD42" s="115"/>
      <c r="FE42" s="115"/>
      <c r="FF42" s="115"/>
      <c r="FG42" s="115"/>
      <c r="FH42" s="115"/>
      <c r="FI42" s="115"/>
      <c r="FJ42" s="115"/>
      <c r="FK42" s="115"/>
      <c r="FL42" s="115"/>
      <c r="FM42" s="115"/>
      <c r="FN42" s="115"/>
      <c r="FO42" s="115"/>
      <c r="FP42" s="115"/>
      <c r="FQ42" s="115"/>
      <c r="FR42" s="115"/>
      <c r="FS42" s="115"/>
      <c r="FT42" s="115"/>
      <c r="FU42" s="115"/>
      <c r="FV42" s="115"/>
      <c r="FW42" s="115"/>
      <c r="FX42" s="115"/>
      <c r="FY42" s="115"/>
      <c r="FZ42" s="115"/>
      <c r="GA42" s="116"/>
      <c r="GB42" s="217">
        <f>C42/4</f>
        <v>202.5</v>
      </c>
      <c r="GC42" s="218"/>
      <c r="GD42" s="218"/>
      <c r="GE42" s="218"/>
      <c r="GF42" s="218"/>
      <c r="GG42" s="218"/>
      <c r="GH42" s="218"/>
      <c r="GI42" s="218"/>
      <c r="GJ42" s="218"/>
      <c r="GK42" s="209" t="s">
        <v>185</v>
      </c>
      <c r="GL42" s="209"/>
      <c r="GM42" s="209"/>
      <c r="GN42" s="209"/>
      <c r="GO42" s="209"/>
      <c r="GP42" s="209"/>
      <c r="GQ42" s="209"/>
      <c r="GR42" s="209"/>
      <c r="GS42" s="209"/>
      <c r="GT42" s="115"/>
      <c r="GU42" s="115"/>
      <c r="GV42" s="115"/>
      <c r="GW42" s="115"/>
      <c r="GX42" s="115"/>
      <c r="GY42" s="115"/>
      <c r="GZ42" s="115"/>
      <c r="HA42" s="115"/>
      <c r="HB42" s="115"/>
      <c r="HC42" s="115"/>
      <c r="HD42" s="115"/>
      <c r="HE42" s="115"/>
      <c r="HF42" s="115"/>
      <c r="HG42" s="115"/>
      <c r="HH42" s="115"/>
      <c r="HI42" s="115"/>
      <c r="HJ42" s="115"/>
      <c r="HK42" s="115"/>
      <c r="HL42" s="115"/>
      <c r="HM42" s="115"/>
      <c r="HN42" s="115"/>
      <c r="HO42" s="115"/>
      <c r="HP42" s="115"/>
      <c r="HQ42" s="115"/>
      <c r="HR42" s="115"/>
      <c r="HS42" s="115"/>
      <c r="HT42" s="115"/>
      <c r="HU42" s="115"/>
      <c r="HV42" s="115"/>
      <c r="HW42" s="115"/>
      <c r="HX42" s="115"/>
      <c r="HY42" s="115"/>
      <c r="HZ42" s="115"/>
      <c r="IA42" s="115"/>
      <c r="IB42" s="115"/>
      <c r="IC42" s="115"/>
      <c r="ID42" s="115"/>
      <c r="IE42" s="115"/>
      <c r="IF42" s="115"/>
      <c r="IG42" s="115"/>
      <c r="IH42" s="115"/>
      <c r="II42" s="115"/>
      <c r="IJ42" s="115"/>
      <c r="IK42" s="115"/>
      <c r="IL42" s="115"/>
      <c r="IM42" s="115"/>
      <c r="IN42" s="115"/>
      <c r="IO42" s="115"/>
      <c r="IP42" s="115"/>
      <c r="IQ42" s="115"/>
      <c r="IR42" s="115"/>
      <c r="IS42" s="115"/>
      <c r="IT42" s="115"/>
      <c r="IU42" s="115"/>
      <c r="IV42" s="115"/>
      <c r="IW42" s="115"/>
      <c r="IX42" s="115"/>
      <c r="IY42" s="115"/>
      <c r="IZ42" s="115"/>
      <c r="JA42" s="115"/>
      <c r="JB42" s="115"/>
      <c r="JC42" s="115"/>
      <c r="JD42" s="115"/>
      <c r="JE42" s="115"/>
      <c r="JF42" s="115"/>
      <c r="JG42" s="115"/>
      <c r="JH42" s="115"/>
      <c r="JI42" s="115"/>
      <c r="JJ42" s="115"/>
      <c r="JK42" s="115"/>
      <c r="JL42" s="115"/>
      <c r="JM42" s="116"/>
      <c r="JN42" s="217"/>
      <c r="JO42" s="218"/>
      <c r="JP42" s="218"/>
      <c r="JQ42" s="218"/>
      <c r="JR42" s="218"/>
      <c r="JS42" s="218"/>
      <c r="JT42" s="218"/>
      <c r="JU42" s="218"/>
      <c r="JV42" s="218"/>
      <c r="JW42" s="209"/>
      <c r="JX42" s="209"/>
      <c r="JY42" s="209"/>
      <c r="JZ42" s="209"/>
      <c r="KA42" s="209"/>
      <c r="KB42" s="209"/>
      <c r="KC42" s="209"/>
      <c r="KD42" s="209"/>
      <c r="KE42" s="209"/>
      <c r="KF42" s="115"/>
      <c r="KG42" s="115"/>
      <c r="KH42" s="115"/>
      <c r="KI42" s="115"/>
      <c r="KJ42" s="115"/>
      <c r="KK42" s="115"/>
      <c r="KL42" s="115"/>
      <c r="KM42" s="115"/>
      <c r="KN42" s="115"/>
      <c r="KO42" s="115"/>
      <c r="KP42" s="115"/>
      <c r="KQ42" s="115"/>
      <c r="KR42" s="115"/>
      <c r="KS42" s="115"/>
      <c r="KT42" s="115"/>
      <c r="KU42" s="115"/>
      <c r="KV42" s="115"/>
      <c r="KW42" s="115"/>
      <c r="KX42" s="115"/>
      <c r="KY42" s="115"/>
      <c r="KZ42" s="115"/>
      <c r="LA42" s="115"/>
      <c r="LB42" s="115"/>
      <c r="LC42" s="115"/>
      <c r="LD42" s="115"/>
      <c r="LE42" s="115"/>
      <c r="LF42" s="115"/>
      <c r="LG42" s="115"/>
      <c r="LH42" s="115"/>
      <c r="LI42" s="115"/>
      <c r="LJ42" s="115"/>
      <c r="LK42" s="115"/>
      <c r="LL42" s="115"/>
      <c r="LM42" s="115"/>
      <c r="LN42" s="115"/>
      <c r="LO42" s="115"/>
      <c r="LP42" s="115"/>
      <c r="LQ42" s="115"/>
      <c r="LR42" s="115"/>
      <c r="LS42" s="115"/>
      <c r="LT42" s="115"/>
      <c r="LU42" s="115"/>
      <c r="LV42" s="115"/>
      <c r="LW42" s="115"/>
      <c r="LX42" s="115"/>
      <c r="LY42" s="115"/>
      <c r="LZ42" s="115"/>
      <c r="MA42" s="115"/>
      <c r="MB42" s="115"/>
      <c r="MC42" s="115"/>
      <c r="MD42" s="115"/>
      <c r="ME42" s="115"/>
      <c r="MF42" s="115"/>
      <c r="MG42" s="115"/>
      <c r="MH42" s="115"/>
      <c r="MI42" s="115"/>
      <c r="MJ42" s="115"/>
      <c r="MK42" s="115"/>
      <c r="ML42" s="115"/>
      <c r="MM42" s="115"/>
      <c r="MN42" s="115"/>
      <c r="MO42" s="115"/>
      <c r="MP42" s="115"/>
      <c r="MQ42" s="115"/>
      <c r="MR42" s="115"/>
      <c r="MS42" s="115"/>
      <c r="MT42" s="115"/>
      <c r="MU42" s="115"/>
      <c r="MV42" s="115"/>
      <c r="MW42" s="115"/>
      <c r="MX42" s="115"/>
      <c r="MY42" s="116"/>
      <c r="MZ42" s="217">
        <f>C42/4</f>
        <v>202.5</v>
      </c>
      <c r="NA42" s="218"/>
      <c r="NB42" s="218"/>
      <c r="NC42" s="218"/>
      <c r="ND42" s="218"/>
      <c r="NE42" s="218"/>
      <c r="NF42" s="218"/>
      <c r="NG42" s="218"/>
      <c r="NH42" s="218"/>
      <c r="NI42" s="209" t="s">
        <v>185</v>
      </c>
      <c r="NJ42" s="209"/>
      <c r="NK42" s="209"/>
      <c r="NL42" s="209"/>
      <c r="NM42" s="209"/>
      <c r="NN42" s="209"/>
      <c r="NO42" s="209"/>
      <c r="NP42" s="209"/>
      <c r="NQ42" s="209"/>
      <c r="NR42" s="115"/>
      <c r="NS42" s="115"/>
      <c r="NT42" s="115"/>
      <c r="NU42" s="115"/>
      <c r="NV42" s="115"/>
      <c r="NW42" s="115"/>
      <c r="NX42" s="115"/>
      <c r="NY42" s="115"/>
      <c r="NZ42" s="115"/>
      <c r="OA42" s="115"/>
      <c r="OB42" s="115"/>
      <c r="OC42" s="115"/>
      <c r="OD42" s="115"/>
      <c r="OE42" s="115"/>
      <c r="OF42" s="115"/>
      <c r="OG42" s="115"/>
      <c r="OH42" s="115"/>
      <c r="OI42" s="115"/>
      <c r="OJ42" s="115"/>
      <c r="OK42" s="115"/>
      <c r="OL42" s="115"/>
      <c r="OM42" s="115"/>
      <c r="ON42" s="115"/>
      <c r="OO42" s="115"/>
      <c r="OP42" s="115"/>
      <c r="OQ42" s="115"/>
      <c r="OR42" s="115"/>
      <c r="OS42" s="115"/>
      <c r="OT42" s="115"/>
      <c r="OU42" s="115"/>
      <c r="OV42" s="115"/>
      <c r="OW42" s="115"/>
      <c r="OX42" s="115"/>
      <c r="OY42" s="115"/>
      <c r="OZ42" s="115"/>
      <c r="PA42" s="115"/>
      <c r="PB42" s="115"/>
      <c r="PC42" s="115"/>
      <c r="PD42" s="115"/>
      <c r="PE42" s="115"/>
      <c r="PF42" s="115"/>
      <c r="PG42" s="115"/>
      <c r="PH42" s="115"/>
      <c r="PI42" s="115"/>
      <c r="PJ42" s="115"/>
      <c r="PK42" s="115"/>
      <c r="PL42" s="115"/>
      <c r="PM42" s="115"/>
      <c r="PN42" s="115"/>
      <c r="PO42" s="115"/>
      <c r="PP42" s="115"/>
      <c r="PQ42" s="115"/>
      <c r="PR42" s="115"/>
      <c r="PS42" s="115"/>
      <c r="PT42" s="115"/>
      <c r="PU42" s="115"/>
      <c r="PV42" s="115"/>
      <c r="PW42" s="115"/>
      <c r="PX42" s="115"/>
      <c r="PY42" s="115"/>
      <c r="PZ42" s="115"/>
      <c r="QA42" s="115"/>
      <c r="QB42" s="115"/>
      <c r="QC42" s="115"/>
      <c r="QD42" s="115"/>
      <c r="QE42" s="115"/>
      <c r="QF42" s="115"/>
      <c r="QG42" s="115"/>
      <c r="QH42" s="115"/>
      <c r="QI42" s="115"/>
      <c r="QJ42" s="115"/>
      <c r="QK42" s="116"/>
      <c r="QL42" s="217">
        <f>C42/4</f>
        <v>202.5</v>
      </c>
      <c r="QM42" s="218"/>
      <c r="QN42" s="218"/>
      <c r="QO42" s="218"/>
      <c r="QP42" s="218"/>
      <c r="QQ42" s="218"/>
      <c r="QR42" s="218"/>
      <c r="QS42" s="218"/>
      <c r="QT42" s="218"/>
      <c r="QU42" s="209" t="s">
        <v>185</v>
      </c>
      <c r="QV42" s="209"/>
      <c r="QW42" s="209"/>
      <c r="QX42" s="209"/>
      <c r="QY42" s="209"/>
      <c r="QZ42" s="209"/>
      <c r="RA42" s="209"/>
      <c r="RB42" s="209"/>
      <c r="RC42" s="209"/>
      <c r="RD42" s="115"/>
      <c r="RE42" s="115"/>
      <c r="RF42" s="115"/>
      <c r="RG42" s="115"/>
      <c r="RH42" s="115"/>
      <c r="RI42" s="115"/>
      <c r="RJ42" s="115"/>
      <c r="RK42" s="115"/>
      <c r="RL42" s="115"/>
      <c r="RM42" s="115"/>
      <c r="RN42" s="115"/>
      <c r="RO42" s="115"/>
      <c r="RP42" s="115"/>
      <c r="RQ42" s="115"/>
      <c r="RR42" s="115"/>
      <c r="RS42" s="115"/>
      <c r="RT42" s="115"/>
      <c r="RU42" s="115"/>
      <c r="RV42" s="115"/>
      <c r="RW42" s="115"/>
      <c r="RX42" s="115"/>
      <c r="RY42" s="115"/>
      <c r="RZ42" s="115"/>
      <c r="SA42" s="115"/>
      <c r="SB42" s="115"/>
      <c r="SC42" s="115"/>
      <c r="SD42" s="115"/>
      <c r="SE42" s="115"/>
      <c r="SF42" s="115"/>
      <c r="SG42" s="115"/>
      <c r="SH42" s="115"/>
      <c r="SI42" s="115"/>
      <c r="SJ42" s="115"/>
      <c r="SK42" s="115"/>
      <c r="SL42" s="115"/>
      <c r="SM42" s="115"/>
      <c r="SN42" s="115"/>
      <c r="SO42" s="115"/>
      <c r="SP42" s="115"/>
      <c r="SQ42" s="115"/>
      <c r="SR42" s="115"/>
      <c r="SS42" s="115"/>
      <c r="ST42" s="115"/>
      <c r="SU42" s="115"/>
      <c r="SV42" s="115"/>
      <c r="SW42" s="115"/>
      <c r="SX42" s="115"/>
      <c r="SY42" s="115"/>
      <c r="SZ42" s="115"/>
      <c r="TA42" s="115"/>
      <c r="TB42" s="115"/>
      <c r="TC42" s="115"/>
      <c r="TD42" s="115"/>
      <c r="TE42" s="115"/>
      <c r="TF42" s="115"/>
      <c r="TG42" s="115"/>
      <c r="TH42" s="115"/>
      <c r="TI42" s="115"/>
      <c r="TJ42" s="115"/>
      <c r="TK42" s="115"/>
      <c r="TL42" s="115"/>
      <c r="TM42" s="115"/>
      <c r="TN42" s="115"/>
      <c r="TO42" s="115"/>
      <c r="TP42" s="115"/>
      <c r="TQ42" s="115"/>
      <c r="TR42" s="115"/>
      <c r="TS42" s="115"/>
      <c r="TT42" s="115"/>
      <c r="TU42" s="115"/>
      <c r="TV42" s="115"/>
      <c r="TW42" s="116"/>
      <c r="TX42" s="217">
        <f>C42/4</f>
        <v>202.5</v>
      </c>
      <c r="TY42" s="218"/>
      <c r="TZ42" s="218"/>
      <c r="UA42" s="218"/>
      <c r="UB42" s="218"/>
      <c r="UC42" s="218"/>
      <c r="UD42" s="218"/>
      <c r="UE42" s="218"/>
      <c r="UF42" s="218"/>
      <c r="UG42" s="209" t="s">
        <v>185</v>
      </c>
      <c r="UH42" s="209"/>
      <c r="UI42" s="209"/>
      <c r="UJ42" s="209"/>
      <c r="UK42" s="209"/>
      <c r="UL42" s="209"/>
      <c r="UM42" s="209"/>
      <c r="UN42" s="209"/>
      <c r="UO42" s="209"/>
      <c r="UP42" s="115"/>
      <c r="UQ42" s="115"/>
      <c r="UR42" s="115"/>
      <c r="US42" s="115"/>
      <c r="UT42" s="115"/>
      <c r="UU42" s="115"/>
      <c r="UV42" s="115"/>
      <c r="UW42" s="115"/>
      <c r="UX42" s="115"/>
      <c r="UY42" s="115"/>
      <c r="UZ42" s="115"/>
      <c r="VA42" s="115"/>
      <c r="VB42" s="115"/>
      <c r="VC42" s="115"/>
      <c r="VD42" s="115"/>
      <c r="VE42" s="115"/>
      <c r="VF42" s="115"/>
      <c r="VG42" s="115"/>
      <c r="VH42" s="115"/>
      <c r="VI42" s="115"/>
      <c r="VJ42" s="115"/>
      <c r="VK42" s="115"/>
      <c r="VL42" s="115"/>
      <c r="VM42" s="115"/>
      <c r="VN42" s="115"/>
      <c r="VO42" s="115"/>
      <c r="VP42" s="115"/>
      <c r="VQ42" s="115"/>
      <c r="VR42" s="115"/>
      <c r="VS42" s="115"/>
      <c r="VT42" s="115"/>
      <c r="VU42" s="115"/>
      <c r="VV42" s="115"/>
      <c r="VW42" s="115"/>
      <c r="VX42" s="115"/>
      <c r="VY42" s="115"/>
      <c r="VZ42" s="115"/>
      <c r="WA42" s="115"/>
      <c r="WB42" s="115"/>
      <c r="WC42" s="115"/>
      <c r="WD42" s="115"/>
      <c r="WE42" s="115"/>
      <c r="WF42" s="115"/>
      <c r="WG42" s="115"/>
      <c r="WH42" s="115"/>
      <c r="WI42" s="115"/>
      <c r="WJ42" s="115"/>
      <c r="WK42" s="115"/>
      <c r="WL42" s="115"/>
      <c r="WM42" s="115"/>
      <c r="WN42" s="115"/>
      <c r="WO42" s="115"/>
      <c r="WP42" s="115"/>
      <c r="WQ42" s="115"/>
      <c r="WR42" s="115"/>
      <c r="WS42" s="115"/>
      <c r="WT42" s="115"/>
      <c r="WU42" s="115"/>
      <c r="WV42" s="115"/>
      <c r="WW42" s="115"/>
      <c r="WX42" s="115"/>
      <c r="WY42" s="115"/>
      <c r="WZ42" s="115"/>
      <c r="XA42" s="115"/>
      <c r="XB42" s="115"/>
      <c r="XC42" s="115"/>
      <c r="XD42" s="115"/>
      <c r="XE42" s="115"/>
      <c r="XF42" s="115"/>
      <c r="XG42" s="115"/>
      <c r="XH42" s="115"/>
      <c r="XI42" s="116"/>
      <c r="XJ42" s="217">
        <f>C42/4</f>
        <v>202.5</v>
      </c>
      <c r="XK42" s="218"/>
      <c r="XL42" s="218"/>
      <c r="XM42" s="218"/>
      <c r="XN42" s="218"/>
      <c r="XO42" s="218"/>
      <c r="XP42" s="218"/>
      <c r="XQ42" s="218"/>
      <c r="XR42" s="218"/>
      <c r="XS42" s="209" t="s">
        <v>185</v>
      </c>
      <c r="XT42" s="209"/>
      <c r="XU42" s="209"/>
      <c r="XV42" s="209"/>
      <c r="XW42" s="209"/>
      <c r="XX42" s="209"/>
      <c r="XY42" s="209"/>
      <c r="XZ42" s="209"/>
      <c r="YA42" s="209"/>
      <c r="YB42" s="115"/>
      <c r="YC42" s="115"/>
      <c r="YD42" s="115"/>
      <c r="YE42" s="115"/>
      <c r="YF42" s="115"/>
      <c r="YG42" s="115"/>
      <c r="YH42" s="115"/>
      <c r="YI42" s="115"/>
      <c r="YJ42" s="115"/>
      <c r="YK42" s="115"/>
      <c r="YL42" s="115"/>
      <c r="YM42" s="115"/>
      <c r="YN42" s="115"/>
      <c r="YO42" s="115"/>
      <c r="YP42" s="115"/>
      <c r="YQ42" s="115"/>
      <c r="YR42" s="115"/>
      <c r="YS42" s="115"/>
      <c r="YT42" s="115"/>
      <c r="YU42" s="115"/>
      <c r="YV42" s="115"/>
      <c r="YW42" s="115"/>
      <c r="YX42" s="115"/>
      <c r="YY42" s="115"/>
      <c r="YZ42" s="115"/>
      <c r="ZA42" s="115"/>
      <c r="ZB42" s="115"/>
      <c r="ZC42" s="115"/>
      <c r="ZD42" s="115"/>
      <c r="ZE42" s="115"/>
      <c r="ZF42" s="115"/>
      <c r="ZG42" s="115"/>
      <c r="ZH42" s="115"/>
      <c r="ZI42" s="115"/>
      <c r="ZJ42" s="115"/>
      <c r="ZK42" s="115"/>
      <c r="ZL42" s="115"/>
      <c r="ZM42" s="115"/>
      <c r="ZN42" s="115"/>
      <c r="ZO42" s="115"/>
      <c r="ZP42" s="115"/>
      <c r="ZQ42" s="115"/>
      <c r="ZR42" s="115"/>
      <c r="ZS42" s="115"/>
      <c r="ZT42" s="115"/>
      <c r="ZU42" s="115"/>
      <c r="ZV42" s="115"/>
      <c r="ZW42" s="115"/>
      <c r="ZX42" s="115"/>
      <c r="ZY42" s="115"/>
      <c r="ZZ42" s="115"/>
      <c r="AAA42" s="115"/>
      <c r="AAB42" s="115"/>
      <c r="AAC42" s="115"/>
      <c r="AAD42" s="115"/>
      <c r="AAE42" s="115"/>
      <c r="AAF42" s="115"/>
      <c r="AAG42" s="115"/>
      <c r="AAH42" s="115"/>
      <c r="AAI42" s="115"/>
      <c r="AAJ42" s="115"/>
      <c r="AAK42" s="115"/>
      <c r="AAL42" s="115"/>
      <c r="AAM42" s="115"/>
      <c r="AAN42" s="115"/>
      <c r="AAO42" s="115"/>
      <c r="AAP42" s="115"/>
      <c r="AAQ42" s="115"/>
      <c r="AAR42" s="115"/>
      <c r="AAS42" s="115"/>
      <c r="AAT42" s="115"/>
      <c r="AAU42" s="116"/>
      <c r="AAV42" s="217">
        <f>C42/4</f>
        <v>202.5</v>
      </c>
      <c r="AAW42" s="218"/>
      <c r="AAX42" s="218"/>
      <c r="AAY42" s="218"/>
      <c r="AAZ42" s="218"/>
      <c r="ABA42" s="218"/>
      <c r="ABB42" s="218"/>
      <c r="ABC42" s="218"/>
      <c r="ABD42" s="218"/>
      <c r="ABE42" s="209" t="s">
        <v>185</v>
      </c>
      <c r="ABF42" s="209"/>
      <c r="ABG42" s="209"/>
      <c r="ABH42" s="209"/>
      <c r="ABI42" s="209"/>
      <c r="ABJ42" s="209"/>
      <c r="ABK42" s="209"/>
      <c r="ABL42" s="209"/>
      <c r="ABM42" s="209"/>
      <c r="ABN42" s="115"/>
      <c r="ABO42" s="115"/>
      <c r="ABP42" s="115"/>
      <c r="ABQ42" s="115"/>
      <c r="ABR42" s="115"/>
      <c r="ABS42" s="115"/>
      <c r="ABT42" s="115"/>
      <c r="ABU42" s="115"/>
      <c r="ABV42" s="115"/>
      <c r="ABW42" s="115"/>
      <c r="ABX42" s="115"/>
      <c r="ABY42" s="115"/>
      <c r="ABZ42" s="115"/>
      <c r="ACA42" s="115"/>
      <c r="ACB42" s="115"/>
      <c r="ACC42" s="115"/>
      <c r="ACD42" s="115"/>
      <c r="ACE42" s="115"/>
      <c r="ACF42" s="115"/>
      <c r="ACG42" s="115"/>
      <c r="ACH42" s="115"/>
      <c r="ACI42" s="115"/>
      <c r="ACJ42" s="115"/>
      <c r="ACK42" s="115"/>
      <c r="ACL42" s="115"/>
      <c r="ACM42" s="115"/>
      <c r="ACN42" s="115"/>
      <c r="ACO42" s="115"/>
      <c r="ACP42" s="115"/>
      <c r="ACQ42" s="115"/>
      <c r="ACR42" s="115"/>
      <c r="ACS42" s="115"/>
      <c r="ACT42" s="115"/>
      <c r="ACU42" s="115"/>
      <c r="ACV42" s="115"/>
      <c r="ACW42" s="115"/>
      <c r="ACX42" s="115"/>
      <c r="ACY42" s="115"/>
      <c r="ACZ42" s="115"/>
      <c r="ADA42" s="115"/>
      <c r="ADB42" s="115"/>
      <c r="ADC42" s="115"/>
      <c r="ADD42" s="115"/>
      <c r="ADE42" s="115"/>
      <c r="ADF42" s="115"/>
      <c r="ADG42" s="115"/>
      <c r="ADH42" s="115"/>
      <c r="ADI42" s="115"/>
      <c r="ADJ42" s="115"/>
      <c r="ADK42" s="115"/>
      <c r="ADL42" s="115"/>
      <c r="ADM42" s="115"/>
      <c r="ADN42" s="115"/>
      <c r="ADO42" s="115"/>
      <c r="ADP42" s="115"/>
      <c r="ADQ42" s="115"/>
      <c r="ADR42" s="115"/>
      <c r="ADS42" s="115"/>
      <c r="ADT42" s="115"/>
      <c r="ADU42" s="115"/>
      <c r="ADV42" s="115"/>
      <c r="ADW42" s="115"/>
      <c r="ADX42" s="115"/>
      <c r="ADY42" s="115"/>
      <c r="ADZ42" s="115"/>
      <c r="AEA42" s="115"/>
      <c r="AEB42" s="115"/>
      <c r="AEC42" s="115"/>
      <c r="AED42" s="115"/>
      <c r="AEE42" s="115"/>
      <c r="AEF42" s="115"/>
      <c r="AEG42" s="116"/>
    </row>
  </sheetData>
  <sheetProtection insertRows="0" selectLockedCells="1"/>
  <mergeCells count="46">
    <mergeCell ref="QL2:TW2"/>
    <mergeCell ref="TX2:XI2"/>
    <mergeCell ref="XJ2:AAU2"/>
    <mergeCell ref="CP42:CX42"/>
    <mergeCell ref="GB41:GJ41"/>
    <mergeCell ref="GB42:GJ42"/>
    <mergeCell ref="JN41:JV41"/>
    <mergeCell ref="JN42:JV42"/>
    <mergeCell ref="MZ41:NH41"/>
    <mergeCell ref="MZ42:NH42"/>
    <mergeCell ref="QL41:QT41"/>
    <mergeCell ref="QL42:QT42"/>
    <mergeCell ref="TX41:UF41"/>
    <mergeCell ref="TX42:UF42"/>
    <mergeCell ref="XJ41:XR41"/>
    <mergeCell ref="XJ42:XR42"/>
    <mergeCell ref="AAV2:AEG2"/>
    <mergeCell ref="B39:B40"/>
    <mergeCell ref="D2:CO2"/>
    <mergeCell ref="CP2:GA2"/>
    <mergeCell ref="GB2:JM2"/>
    <mergeCell ref="JN2:MY2"/>
    <mergeCell ref="MZ2:QK2"/>
    <mergeCell ref="B27:B28"/>
    <mergeCell ref="B29:B30"/>
    <mergeCell ref="B31:B32"/>
    <mergeCell ref="B33:B34"/>
    <mergeCell ref="B35:B36"/>
    <mergeCell ref="B37:B38"/>
    <mergeCell ref="B25:B26"/>
    <mergeCell ref="B3:B4"/>
    <mergeCell ref="B5:B6"/>
    <mergeCell ref="B7:B8"/>
    <mergeCell ref="B9:B10"/>
    <mergeCell ref="B11:B12"/>
    <mergeCell ref="B13:B14"/>
    <mergeCell ref="B15:B16"/>
    <mergeCell ref="AAV41:ABD41"/>
    <mergeCell ref="AAV42:ABD42"/>
    <mergeCell ref="B17:B18"/>
    <mergeCell ref="B19:B20"/>
    <mergeCell ref="B21:B22"/>
    <mergeCell ref="B23:B24"/>
    <mergeCell ref="CP41:CX41"/>
    <mergeCell ref="D41:L41"/>
    <mergeCell ref="D42:L42"/>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7665A-ECB2-44F6-B849-B38545DD6FCA}">
  <dimension ref="B3:F31"/>
  <sheetViews>
    <sheetView workbookViewId="0">
      <selection activeCell="F31" sqref="F31"/>
    </sheetView>
  </sheetViews>
  <sheetFormatPr baseColWidth="10" defaultRowHeight="13.5" x14ac:dyDescent="0.25"/>
  <cols>
    <col min="2" max="2" width="58.85546875" bestFit="1" customWidth="1"/>
    <col min="3" max="3" width="12.42578125" bestFit="1" customWidth="1"/>
  </cols>
  <sheetData>
    <row r="3" spans="2:4" x14ac:dyDescent="0.25">
      <c r="C3" t="s">
        <v>198</v>
      </c>
      <c r="D3" t="s">
        <v>197</v>
      </c>
    </row>
    <row r="4" spans="2:4" x14ac:dyDescent="0.25">
      <c r="B4" t="s">
        <v>20</v>
      </c>
      <c r="C4">
        <f>C19/4</f>
        <v>3.5</v>
      </c>
      <c r="D4">
        <f>D19/4</f>
        <v>51</v>
      </c>
    </row>
    <row r="5" spans="2:4" x14ac:dyDescent="0.25">
      <c r="B5" t="s">
        <v>196</v>
      </c>
      <c r="C5">
        <f>C20/4</f>
        <v>14.75</v>
      </c>
      <c r="D5">
        <f t="shared" ref="D5:D14" si="0">D20/4</f>
        <v>6.25</v>
      </c>
    </row>
    <row r="6" spans="2:4" x14ac:dyDescent="0.25">
      <c r="B6" t="s">
        <v>195</v>
      </c>
      <c r="C6">
        <f t="shared" ref="C6:C14" si="1">C21/4</f>
        <v>22.75</v>
      </c>
      <c r="D6">
        <f t="shared" si="0"/>
        <v>40.75</v>
      </c>
    </row>
    <row r="7" spans="2:4" x14ac:dyDescent="0.25">
      <c r="B7" t="s">
        <v>174</v>
      </c>
      <c r="C7">
        <f t="shared" si="1"/>
        <v>4.5</v>
      </c>
      <c r="D7">
        <f t="shared" si="0"/>
        <v>4.5</v>
      </c>
    </row>
    <row r="8" spans="2:4" x14ac:dyDescent="0.25">
      <c r="B8" t="s">
        <v>190</v>
      </c>
      <c r="C8">
        <f t="shared" si="1"/>
        <v>1.75</v>
      </c>
      <c r="D8">
        <f t="shared" si="0"/>
        <v>1.75</v>
      </c>
    </row>
    <row r="9" spans="2:4" x14ac:dyDescent="0.25">
      <c r="B9" t="s">
        <v>191</v>
      </c>
      <c r="C9">
        <f t="shared" si="1"/>
        <v>2</v>
      </c>
      <c r="D9">
        <f t="shared" si="0"/>
        <v>2</v>
      </c>
    </row>
    <row r="10" spans="2:4" x14ac:dyDescent="0.25">
      <c r="B10" t="s">
        <v>192</v>
      </c>
      <c r="C10">
        <f t="shared" si="1"/>
        <v>0</v>
      </c>
      <c r="D10">
        <f t="shared" si="0"/>
        <v>0</v>
      </c>
    </row>
    <row r="11" spans="2:4" x14ac:dyDescent="0.25">
      <c r="B11" t="s">
        <v>189</v>
      </c>
      <c r="C11">
        <f t="shared" si="1"/>
        <v>29.75</v>
      </c>
      <c r="D11">
        <f t="shared" si="0"/>
        <v>24.25</v>
      </c>
    </row>
    <row r="12" spans="2:4" x14ac:dyDescent="0.25">
      <c r="B12" t="s">
        <v>193</v>
      </c>
      <c r="C12">
        <f t="shared" si="1"/>
        <v>17.5</v>
      </c>
      <c r="D12">
        <f t="shared" si="0"/>
        <v>5.75</v>
      </c>
    </row>
    <row r="13" spans="2:4" x14ac:dyDescent="0.25">
      <c r="B13" t="s">
        <v>194</v>
      </c>
      <c r="C13">
        <f t="shared" si="1"/>
        <v>2</v>
      </c>
      <c r="D13">
        <f t="shared" si="0"/>
        <v>1.25</v>
      </c>
    </row>
    <row r="14" spans="2:4" x14ac:dyDescent="0.25">
      <c r="B14" t="s">
        <v>49</v>
      </c>
      <c r="C14">
        <f t="shared" si="1"/>
        <v>81.5</v>
      </c>
      <c r="D14">
        <f t="shared" si="0"/>
        <v>41.75</v>
      </c>
    </row>
    <row r="18" spans="2:6" x14ac:dyDescent="0.25">
      <c r="C18" t="s">
        <v>198</v>
      </c>
      <c r="D18" t="s">
        <v>197</v>
      </c>
    </row>
    <row r="19" spans="2:6" x14ac:dyDescent="0.25">
      <c r="B19" t="s">
        <v>20</v>
      </c>
      <c r="C19" s="211">
        <f>(Diagramme!C3)-90</f>
        <v>14</v>
      </c>
      <c r="D19" s="211">
        <f>(Diagramme!C4)-90</f>
        <v>204</v>
      </c>
    </row>
    <row r="20" spans="2:6" x14ac:dyDescent="0.25">
      <c r="B20" t="s">
        <v>42</v>
      </c>
      <c r="C20">
        <f>Diagramme!C5</f>
        <v>59</v>
      </c>
      <c r="D20">
        <f>Diagramme!C6</f>
        <v>25</v>
      </c>
    </row>
    <row r="21" spans="2:6" x14ac:dyDescent="0.25">
      <c r="B21" t="s">
        <v>90</v>
      </c>
      <c r="C21">
        <f>Diagramme!C7</f>
        <v>91</v>
      </c>
      <c r="D21">
        <f>Diagramme!C8</f>
        <v>163</v>
      </c>
    </row>
    <row r="22" spans="2:6" x14ac:dyDescent="0.25">
      <c r="B22" t="s">
        <v>91</v>
      </c>
      <c r="C22">
        <f>Diagramme!C9</f>
        <v>18</v>
      </c>
      <c r="D22">
        <f>Diagramme!C10</f>
        <v>18</v>
      </c>
    </row>
    <row r="23" spans="2:6" x14ac:dyDescent="0.25">
      <c r="B23" t="s">
        <v>43</v>
      </c>
      <c r="C23">
        <f>Diagramme!C11</f>
        <v>7</v>
      </c>
      <c r="D23">
        <f>Diagramme!C11</f>
        <v>7</v>
      </c>
    </row>
    <row r="24" spans="2:6" x14ac:dyDescent="0.25">
      <c r="B24" t="s">
        <v>44</v>
      </c>
      <c r="C24">
        <f>Diagramme!C13</f>
        <v>8</v>
      </c>
      <c r="D24">
        <f>Diagramme!C14</f>
        <v>8</v>
      </c>
    </row>
    <row r="25" spans="2:6" x14ac:dyDescent="0.25">
      <c r="B25" t="s">
        <v>45</v>
      </c>
      <c r="C25">
        <f>Diagramme!C15</f>
        <v>0</v>
      </c>
      <c r="D25">
        <f>Diagramme!C16</f>
        <v>0</v>
      </c>
    </row>
    <row r="26" spans="2:6" x14ac:dyDescent="0.25">
      <c r="B26" t="s">
        <v>189</v>
      </c>
      <c r="C26">
        <f>SUM(Diagramme!C17,Diagramme!C19,Diagramme!C21,Diagramme!C23,Diagramme!C25,Diagramme!C27,Diagramme!C29,Diagramme!C31,Diagramme!C33)</f>
        <v>119</v>
      </c>
      <c r="D26">
        <f>SUM(Diagramme!C18,Diagramme!C20,Diagramme!C22,Diagramme!C24,Diagramme!C26,Diagramme!C28,Diagramme!C30,Diagramme!C32,Diagramme!C34)</f>
        <v>97</v>
      </c>
    </row>
    <row r="27" spans="2:6" x14ac:dyDescent="0.25">
      <c r="B27" t="s">
        <v>47</v>
      </c>
      <c r="C27">
        <f>Diagramme!C35</f>
        <v>70</v>
      </c>
      <c r="D27">
        <f>Diagramme!C36</f>
        <v>23</v>
      </c>
    </row>
    <row r="28" spans="2:6" x14ac:dyDescent="0.25">
      <c r="B28" t="s">
        <v>48</v>
      </c>
      <c r="C28">
        <f>Diagramme!C37</f>
        <v>8</v>
      </c>
      <c r="D28">
        <f>Diagramme!C38</f>
        <v>5</v>
      </c>
    </row>
    <row r="29" spans="2:6" x14ac:dyDescent="0.25">
      <c r="B29" t="s">
        <v>49</v>
      </c>
      <c r="C29">
        <f>Diagramme!C39</f>
        <v>326</v>
      </c>
      <c r="D29">
        <f>Diagramme!C40</f>
        <v>167</v>
      </c>
    </row>
    <row r="31" spans="2:6" x14ac:dyDescent="0.25">
      <c r="F31" s="212">
        <f>D6/C6</f>
        <v>1.7912087912087913</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27" t="s">
        <v>20</v>
      </c>
      <c r="C3" s="16">
        <v>0</v>
      </c>
    </row>
    <row r="4" spans="1:4" ht="19.5" customHeight="1" x14ac:dyDescent="0.25">
      <c r="A4" s="19"/>
      <c r="B4" s="228"/>
      <c r="C4" s="22">
        <v>0</v>
      </c>
      <c r="D4" s="29"/>
    </row>
    <row r="16" spans="1:4" ht="19.5" customHeight="1" x14ac:dyDescent="0.25">
      <c r="A16" s="41"/>
    </row>
  </sheetData>
  <mergeCells count="1">
    <mergeCell ref="B3:B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199"/>
  <sheetViews>
    <sheetView view="pageBreakPreview" zoomScaleNormal="100" zoomScaleSheetLayoutView="100" workbookViewId="0">
      <selection activeCell="C194" sqref="C194"/>
    </sheetView>
  </sheetViews>
  <sheetFormatPr baseColWidth="10" defaultColWidth="11.42578125" defaultRowHeight="13.5" x14ac:dyDescent="0.25"/>
  <cols>
    <col min="1" max="1" width="21.42578125" style="20" customWidth="1"/>
    <col min="2" max="2" width="8.5703125" style="20" customWidth="1"/>
    <col min="3" max="3" width="87" style="162" customWidth="1"/>
    <col min="4" max="4" width="44.140625" style="20" customWidth="1"/>
    <col min="5" max="16384" width="11.42578125" style="20"/>
  </cols>
  <sheetData>
    <row r="1" spans="1:4" ht="18.75" thickBot="1" x14ac:dyDescent="0.3">
      <c r="A1" s="42" t="s">
        <v>13</v>
      </c>
      <c r="B1" s="43">
        <v>1</v>
      </c>
      <c r="C1" s="152" t="s">
        <v>22</v>
      </c>
      <c r="D1" s="53">
        <f>Donnees!$C$9</f>
        <v>44949</v>
      </c>
    </row>
    <row r="2" spans="1:4" ht="27.75" thickBot="1" x14ac:dyDescent="0.3">
      <c r="A2" s="45" t="s">
        <v>2</v>
      </c>
      <c r="B2" s="46" t="s">
        <v>14</v>
      </c>
      <c r="C2" s="153" t="s">
        <v>6</v>
      </c>
      <c r="D2" s="45" t="s">
        <v>12</v>
      </c>
    </row>
    <row r="3" spans="1:4" s="52" customFormat="1" x14ac:dyDescent="0.25">
      <c r="A3" s="5"/>
      <c r="B3" s="4"/>
      <c r="C3" s="154" t="s">
        <v>30</v>
      </c>
      <c r="D3" s="9"/>
    </row>
    <row r="4" spans="1:4" s="52" customFormat="1" x14ac:dyDescent="0.25">
      <c r="A4" s="1" t="s">
        <v>20</v>
      </c>
      <c r="B4" s="2">
        <v>12</v>
      </c>
      <c r="C4" s="155" t="s">
        <v>35</v>
      </c>
      <c r="D4" s="10"/>
    </row>
    <row r="5" spans="1:4" s="52" customFormat="1" x14ac:dyDescent="0.25">
      <c r="A5" s="1" t="s">
        <v>20</v>
      </c>
      <c r="B5" s="2">
        <v>1</v>
      </c>
      <c r="C5" s="155" t="s">
        <v>36</v>
      </c>
      <c r="D5" s="10"/>
    </row>
    <row r="6" spans="1:4" s="52" customFormat="1" x14ac:dyDescent="0.25">
      <c r="A6" s="1" t="s">
        <v>20</v>
      </c>
      <c r="B6" s="2">
        <v>1</v>
      </c>
      <c r="C6" s="155" t="s">
        <v>37</v>
      </c>
      <c r="D6" s="10"/>
    </row>
    <row r="7" spans="1:4" s="52" customFormat="1" ht="27" x14ac:dyDescent="0.25">
      <c r="A7" s="1" t="s">
        <v>43</v>
      </c>
      <c r="B7" s="2">
        <v>1</v>
      </c>
      <c r="C7" s="155" t="s">
        <v>38</v>
      </c>
      <c r="D7" s="10"/>
    </row>
    <row r="8" spans="1:4" s="52" customFormat="1" ht="27" x14ac:dyDescent="0.25">
      <c r="A8" s="1" t="s">
        <v>43</v>
      </c>
      <c r="B8" s="2">
        <v>3</v>
      </c>
      <c r="C8" s="155" t="s">
        <v>40</v>
      </c>
      <c r="D8" s="10"/>
    </row>
    <row r="9" spans="1:4" s="52" customFormat="1" x14ac:dyDescent="0.25">
      <c r="A9" s="1" t="s">
        <v>42</v>
      </c>
      <c r="B9" s="2">
        <v>1</v>
      </c>
      <c r="C9" s="155" t="s">
        <v>39</v>
      </c>
      <c r="D9" s="10"/>
    </row>
    <row r="10" spans="1:4" s="52" customFormat="1" ht="51" x14ac:dyDescent="0.25">
      <c r="A10" s="1" t="s">
        <v>47</v>
      </c>
      <c r="B10" s="2">
        <v>5</v>
      </c>
      <c r="C10" s="155" t="s">
        <v>41</v>
      </c>
      <c r="D10" s="167" t="s">
        <v>87</v>
      </c>
    </row>
    <row r="11" spans="1:4" s="52" customFormat="1" x14ac:dyDescent="0.25">
      <c r="A11" s="1"/>
      <c r="B11" s="2"/>
      <c r="C11" s="156" t="s">
        <v>31</v>
      </c>
      <c r="D11" s="10"/>
    </row>
    <row r="12" spans="1:4" s="52" customFormat="1" x14ac:dyDescent="0.25">
      <c r="A12" s="1" t="s">
        <v>20</v>
      </c>
      <c r="B12" s="2">
        <v>1</v>
      </c>
      <c r="C12" s="157" t="s">
        <v>51</v>
      </c>
      <c r="D12" s="10"/>
    </row>
    <row r="13" spans="1:4" s="52" customFormat="1" x14ac:dyDescent="0.25">
      <c r="A13" s="1" t="s">
        <v>49</v>
      </c>
      <c r="B13" s="2">
        <v>3</v>
      </c>
      <c r="C13" s="155" t="s">
        <v>50</v>
      </c>
      <c r="D13" s="10"/>
    </row>
    <row r="14" spans="1:4" s="52" customFormat="1" ht="51" x14ac:dyDescent="0.25">
      <c r="A14" s="1" t="s">
        <v>47</v>
      </c>
      <c r="B14" s="2">
        <v>6</v>
      </c>
      <c r="C14" s="155" t="s">
        <v>41</v>
      </c>
      <c r="D14" s="167" t="s">
        <v>87</v>
      </c>
    </row>
    <row r="15" spans="1:4" s="52" customFormat="1" x14ac:dyDescent="0.25">
      <c r="A15" s="1" t="s">
        <v>42</v>
      </c>
      <c r="B15" s="2">
        <v>1</v>
      </c>
      <c r="C15" s="157" t="s">
        <v>39</v>
      </c>
      <c r="D15" s="10"/>
    </row>
    <row r="16" spans="1:4" s="52" customFormat="1" x14ac:dyDescent="0.25">
      <c r="A16" s="1" t="s">
        <v>90</v>
      </c>
      <c r="B16" s="2">
        <v>8</v>
      </c>
      <c r="C16" s="157" t="s">
        <v>76</v>
      </c>
      <c r="D16" s="10"/>
    </row>
    <row r="17" spans="1:4" s="52" customFormat="1" ht="40.5" x14ac:dyDescent="0.25">
      <c r="A17" s="1" t="s">
        <v>44</v>
      </c>
      <c r="B17" s="2">
        <v>2</v>
      </c>
      <c r="C17" s="157" t="s">
        <v>72</v>
      </c>
      <c r="D17" s="10"/>
    </row>
    <row r="18" spans="1:4" s="52" customFormat="1" x14ac:dyDescent="0.25">
      <c r="A18" s="1" t="s">
        <v>20</v>
      </c>
      <c r="B18" s="2">
        <v>6</v>
      </c>
      <c r="C18" s="157" t="s">
        <v>78</v>
      </c>
      <c r="D18" s="10"/>
    </row>
    <row r="19" spans="1:4" s="52" customFormat="1" x14ac:dyDescent="0.25">
      <c r="A19" s="1"/>
      <c r="B19" s="2"/>
      <c r="C19" s="156" t="s">
        <v>32</v>
      </c>
      <c r="D19" s="10"/>
    </row>
    <row r="20" spans="1:4" s="52" customFormat="1" x14ac:dyDescent="0.25">
      <c r="A20" s="1" t="s">
        <v>49</v>
      </c>
      <c r="B20" s="2">
        <v>4</v>
      </c>
      <c r="C20" s="157" t="s">
        <v>79</v>
      </c>
      <c r="D20" s="10"/>
    </row>
    <row r="21" spans="1:4" s="52" customFormat="1" x14ac:dyDescent="0.25">
      <c r="A21" s="1" t="s">
        <v>20</v>
      </c>
      <c r="B21" s="2">
        <v>2</v>
      </c>
      <c r="C21" s="157" t="s">
        <v>80</v>
      </c>
      <c r="D21" s="10"/>
    </row>
    <row r="22" spans="1:4" s="52" customFormat="1" ht="51" x14ac:dyDescent="0.25">
      <c r="A22" s="1" t="s">
        <v>47</v>
      </c>
      <c r="B22" s="2">
        <v>2</v>
      </c>
      <c r="C22" s="155" t="s">
        <v>41</v>
      </c>
      <c r="D22" s="167" t="s">
        <v>87</v>
      </c>
    </row>
    <row r="23" spans="1:4" s="52" customFormat="1" ht="27" x14ac:dyDescent="0.25">
      <c r="A23" s="1" t="s">
        <v>20</v>
      </c>
      <c r="B23" s="2">
        <v>1</v>
      </c>
      <c r="C23" s="157" t="s">
        <v>81</v>
      </c>
      <c r="D23" s="10"/>
    </row>
    <row r="24" spans="1:4" s="52" customFormat="1" ht="51" x14ac:dyDescent="0.25">
      <c r="A24" s="1" t="s">
        <v>47</v>
      </c>
      <c r="B24" s="2">
        <v>3</v>
      </c>
      <c r="C24" s="157" t="s">
        <v>82</v>
      </c>
      <c r="D24" s="167" t="s">
        <v>87</v>
      </c>
    </row>
    <row r="25" spans="1:4" s="52" customFormat="1" x14ac:dyDescent="0.25">
      <c r="A25" s="2"/>
      <c r="B25" s="2"/>
      <c r="C25" s="156" t="s">
        <v>33</v>
      </c>
      <c r="D25" s="10"/>
    </row>
    <row r="26" spans="1:4" s="52" customFormat="1" x14ac:dyDescent="0.25">
      <c r="A26" s="150" t="s">
        <v>90</v>
      </c>
      <c r="B26" s="2">
        <v>2</v>
      </c>
      <c r="C26" s="157" t="s">
        <v>85</v>
      </c>
      <c r="D26" s="10"/>
    </row>
    <row r="27" spans="1:4" s="52" customFormat="1" ht="27" x14ac:dyDescent="0.25">
      <c r="A27" s="2" t="s">
        <v>49</v>
      </c>
      <c r="B27" s="2">
        <v>4</v>
      </c>
      <c r="C27" s="157" t="s">
        <v>86</v>
      </c>
      <c r="D27" s="10"/>
    </row>
    <row r="28" spans="1:4" s="52" customFormat="1" x14ac:dyDescent="0.25">
      <c r="A28" s="50" t="s">
        <v>49</v>
      </c>
      <c r="B28" s="50">
        <v>2</v>
      </c>
      <c r="C28" s="158" t="s">
        <v>83</v>
      </c>
      <c r="D28" s="51"/>
    </row>
    <row r="29" spans="1:4" s="52" customFormat="1" ht="27" x14ac:dyDescent="0.25">
      <c r="A29" s="50" t="s">
        <v>49</v>
      </c>
      <c r="B29" s="50">
        <v>5</v>
      </c>
      <c r="C29" s="158" t="s">
        <v>84</v>
      </c>
      <c r="D29" s="51"/>
    </row>
    <row r="30" spans="1:4" s="52" customFormat="1" ht="51" x14ac:dyDescent="0.25">
      <c r="A30" s="50" t="s">
        <v>47</v>
      </c>
      <c r="B30" s="50">
        <v>2</v>
      </c>
      <c r="C30" s="157" t="s">
        <v>82</v>
      </c>
      <c r="D30" s="166" t="s">
        <v>87</v>
      </c>
    </row>
    <row r="31" spans="1:4" s="52" customFormat="1" ht="27" x14ac:dyDescent="0.25">
      <c r="A31" s="50" t="s">
        <v>43</v>
      </c>
      <c r="B31" s="50">
        <v>3</v>
      </c>
      <c r="C31" s="164" t="s">
        <v>88</v>
      </c>
      <c r="D31" s="165"/>
    </row>
    <row r="32" spans="1:4" s="52" customFormat="1" x14ac:dyDescent="0.25">
      <c r="A32" s="2" t="s">
        <v>49</v>
      </c>
      <c r="B32" s="2">
        <v>2</v>
      </c>
      <c r="C32" s="168" t="s">
        <v>89</v>
      </c>
      <c r="D32" s="163"/>
    </row>
    <row r="33" spans="1:8" s="52" customFormat="1" ht="40.5" x14ac:dyDescent="0.25">
      <c r="A33" s="169" t="s">
        <v>44</v>
      </c>
      <c r="B33" s="169">
        <v>1</v>
      </c>
      <c r="C33" s="170" t="s">
        <v>101</v>
      </c>
      <c r="D33" s="171"/>
    </row>
    <row r="34" spans="1:8" s="52" customFormat="1" ht="40.5" x14ac:dyDescent="0.25">
      <c r="A34" s="169" t="s">
        <v>93</v>
      </c>
      <c r="B34" s="169">
        <v>3</v>
      </c>
      <c r="C34" s="170" t="s">
        <v>104</v>
      </c>
      <c r="D34" s="171"/>
    </row>
    <row r="35" spans="1:8" s="52" customFormat="1" ht="27.75" thickBot="1" x14ac:dyDescent="0.3">
      <c r="A35" s="169" t="s">
        <v>43</v>
      </c>
      <c r="B35" s="169">
        <v>3</v>
      </c>
      <c r="C35" s="170" t="s">
        <v>105</v>
      </c>
      <c r="D35" s="171"/>
    </row>
    <row r="36" spans="1:8" ht="14.25" thickBot="1" x14ac:dyDescent="0.3">
      <c r="A36" s="47" t="s">
        <v>21</v>
      </c>
      <c r="B36" s="47">
        <f>SUM(B3:B35)</f>
        <v>90</v>
      </c>
      <c r="C36" s="159" t="s">
        <v>28</v>
      </c>
      <c r="D36" s="48"/>
    </row>
    <row r="37" spans="1:8" ht="15" thickBot="1" x14ac:dyDescent="0.35">
      <c r="A37" s="49"/>
      <c r="B37" s="49"/>
      <c r="C37" s="160"/>
      <c r="D37" s="49"/>
    </row>
    <row r="38" spans="1:8" ht="18.75" thickBot="1" x14ac:dyDescent="0.3">
      <c r="A38" s="42" t="s">
        <v>13</v>
      </c>
      <c r="B38" s="43">
        <v>2</v>
      </c>
      <c r="C38" s="152" t="s">
        <v>22</v>
      </c>
      <c r="D38" s="53">
        <f>$D$1+7</f>
        <v>44956</v>
      </c>
    </row>
    <row r="39" spans="1:8" ht="27.75" thickBot="1" x14ac:dyDescent="0.3">
      <c r="A39" s="45" t="s">
        <v>2</v>
      </c>
      <c r="B39" s="46" t="s">
        <v>14</v>
      </c>
      <c r="C39" s="153" t="s">
        <v>6</v>
      </c>
      <c r="D39" s="45" t="s">
        <v>12</v>
      </c>
    </row>
    <row r="40" spans="1:8" x14ac:dyDescent="0.25">
      <c r="A40" s="5"/>
      <c r="B40" s="4"/>
      <c r="C40" s="154" t="s">
        <v>30</v>
      </c>
      <c r="D40" s="9"/>
    </row>
    <row r="41" spans="1:8" ht="40.5" x14ac:dyDescent="0.25">
      <c r="A41" s="1" t="s">
        <v>44</v>
      </c>
      <c r="B41" s="2">
        <v>5</v>
      </c>
      <c r="C41" s="157" t="s">
        <v>106</v>
      </c>
      <c r="D41" s="10"/>
    </row>
    <row r="42" spans="1:8" ht="27" x14ac:dyDescent="0.25">
      <c r="A42" s="1" t="s">
        <v>90</v>
      </c>
      <c r="B42" s="2">
        <v>5</v>
      </c>
      <c r="C42" s="157" t="s">
        <v>123</v>
      </c>
      <c r="D42" s="10"/>
    </row>
    <row r="43" spans="1:8" ht="27" x14ac:dyDescent="0.25">
      <c r="A43" s="1" t="s">
        <v>90</v>
      </c>
      <c r="B43" s="2">
        <v>5</v>
      </c>
      <c r="C43" s="157" t="s">
        <v>127</v>
      </c>
      <c r="D43" s="10"/>
    </row>
    <row r="44" spans="1:8" ht="51" x14ac:dyDescent="0.25">
      <c r="A44" s="1" t="s">
        <v>97</v>
      </c>
      <c r="B44" s="2">
        <v>7</v>
      </c>
      <c r="C44" s="157" t="s">
        <v>126</v>
      </c>
      <c r="D44" s="167" t="s">
        <v>125</v>
      </c>
    </row>
    <row r="45" spans="1:8" x14ac:dyDescent="0.25">
      <c r="A45" s="1" t="s">
        <v>42</v>
      </c>
      <c r="B45" s="2">
        <v>2</v>
      </c>
      <c r="C45" s="157" t="s">
        <v>39</v>
      </c>
      <c r="D45" s="10"/>
    </row>
    <row r="46" spans="1:8" ht="12.75" customHeight="1" x14ac:dyDescent="0.25">
      <c r="A46" s="1"/>
      <c r="B46" s="2"/>
      <c r="C46" s="156" t="s">
        <v>31</v>
      </c>
      <c r="D46" s="10"/>
      <c r="F46" s="31"/>
      <c r="G46" s="32"/>
      <c r="H46" s="33"/>
    </row>
    <row r="47" spans="1:8" ht="12.75" customHeight="1" x14ac:dyDescent="0.25">
      <c r="A47" s="1" t="s">
        <v>93</v>
      </c>
      <c r="B47" s="2">
        <v>1</v>
      </c>
      <c r="C47" s="157" t="s">
        <v>128</v>
      </c>
      <c r="D47" s="10"/>
      <c r="F47" s="31"/>
      <c r="G47" s="32"/>
      <c r="H47" s="33"/>
    </row>
    <row r="48" spans="1:8" ht="40.5" x14ac:dyDescent="0.25">
      <c r="A48" s="1" t="s">
        <v>20</v>
      </c>
      <c r="B48" s="2">
        <v>7</v>
      </c>
      <c r="C48" s="157" t="s">
        <v>129</v>
      </c>
      <c r="D48" s="10"/>
      <c r="F48" s="31"/>
      <c r="G48" s="32"/>
      <c r="H48" s="33"/>
    </row>
    <row r="49" spans="1:8" ht="40.5" x14ac:dyDescent="0.25">
      <c r="A49" s="1" t="s">
        <v>103</v>
      </c>
      <c r="B49" s="2">
        <v>8</v>
      </c>
      <c r="C49" s="157" t="s">
        <v>130</v>
      </c>
      <c r="D49" s="10"/>
      <c r="F49" s="34"/>
      <c r="G49" s="30"/>
      <c r="H49" s="30"/>
    </row>
    <row r="50" spans="1:8" ht="27" x14ac:dyDescent="0.25">
      <c r="A50" s="1" t="s">
        <v>95</v>
      </c>
      <c r="B50" s="2">
        <v>2</v>
      </c>
      <c r="C50" s="157" t="s">
        <v>131</v>
      </c>
      <c r="D50" s="10"/>
      <c r="F50" s="34"/>
      <c r="G50" s="30"/>
      <c r="H50" s="30"/>
    </row>
    <row r="51" spans="1:8" ht="27" x14ac:dyDescent="0.25">
      <c r="A51" s="1" t="s">
        <v>94</v>
      </c>
      <c r="B51" s="2">
        <v>1</v>
      </c>
      <c r="C51" s="157" t="s">
        <v>132</v>
      </c>
      <c r="D51" s="10"/>
      <c r="F51" s="34"/>
      <c r="G51" s="30"/>
      <c r="H51" s="30"/>
    </row>
    <row r="52" spans="1:8" ht="15" x14ac:dyDescent="0.25">
      <c r="A52" s="1" t="s">
        <v>20</v>
      </c>
      <c r="B52" s="2">
        <v>3</v>
      </c>
      <c r="C52" s="183" t="s">
        <v>110</v>
      </c>
      <c r="D52" s="10"/>
      <c r="F52" s="34"/>
      <c r="G52" s="30"/>
      <c r="H52" s="30"/>
    </row>
    <row r="53" spans="1:8" ht="15" x14ac:dyDescent="0.25">
      <c r="A53" s="1" t="s">
        <v>42</v>
      </c>
      <c r="B53" s="2">
        <v>1</v>
      </c>
      <c r="C53" s="157" t="s">
        <v>39</v>
      </c>
      <c r="D53" s="10"/>
      <c r="F53" s="34"/>
      <c r="G53" s="30"/>
      <c r="H53" s="30"/>
    </row>
    <row r="54" spans="1:8" x14ac:dyDescent="0.25">
      <c r="A54" s="1" t="s">
        <v>90</v>
      </c>
      <c r="B54" s="2">
        <v>4</v>
      </c>
      <c r="C54" s="157" t="s">
        <v>133</v>
      </c>
      <c r="D54" s="10"/>
      <c r="F54" s="36"/>
      <c r="G54" s="37"/>
      <c r="H54" s="37"/>
    </row>
    <row r="55" spans="1:8" x14ac:dyDescent="0.25">
      <c r="A55" s="1"/>
      <c r="B55" s="2"/>
      <c r="C55" s="156" t="s">
        <v>32</v>
      </c>
      <c r="D55" s="10"/>
      <c r="F55" s="36"/>
      <c r="G55" s="37"/>
      <c r="H55" s="37"/>
    </row>
    <row r="56" spans="1:8" ht="51" x14ac:dyDescent="0.25">
      <c r="A56" s="1" t="s">
        <v>94</v>
      </c>
      <c r="B56" s="2">
        <v>8</v>
      </c>
      <c r="C56" s="157" t="s">
        <v>134</v>
      </c>
      <c r="D56" s="167" t="s">
        <v>171</v>
      </c>
      <c r="F56" s="36"/>
      <c r="G56" s="37"/>
      <c r="H56" s="37"/>
    </row>
    <row r="57" spans="1:8" ht="27" x14ac:dyDescent="0.25">
      <c r="A57" s="1" t="s">
        <v>100</v>
      </c>
      <c r="B57" s="2">
        <v>3</v>
      </c>
      <c r="C57" s="157" t="s">
        <v>135</v>
      </c>
      <c r="D57" s="167" t="s">
        <v>172</v>
      </c>
      <c r="F57" s="36"/>
      <c r="G57" s="37"/>
      <c r="H57" s="37"/>
    </row>
    <row r="58" spans="1:8" x14ac:dyDescent="0.25">
      <c r="A58" s="1" t="s">
        <v>42</v>
      </c>
      <c r="B58" s="2">
        <v>1</v>
      </c>
      <c r="C58" s="157" t="s">
        <v>39</v>
      </c>
      <c r="D58" s="167"/>
      <c r="F58" s="36"/>
      <c r="G58" s="37"/>
      <c r="H58" s="37"/>
    </row>
    <row r="59" spans="1:8" x14ac:dyDescent="0.25">
      <c r="A59" s="2"/>
      <c r="B59" s="2"/>
      <c r="C59" s="156" t="s">
        <v>33</v>
      </c>
      <c r="D59" s="10"/>
      <c r="F59" s="36"/>
      <c r="G59" s="37"/>
      <c r="H59" s="37"/>
    </row>
    <row r="60" spans="1:8" ht="27" x14ac:dyDescent="0.25">
      <c r="A60" s="2" t="s">
        <v>94</v>
      </c>
      <c r="B60" s="2">
        <v>5</v>
      </c>
      <c r="C60" s="157" t="s">
        <v>137</v>
      </c>
      <c r="D60" s="10"/>
      <c r="F60" s="36"/>
      <c r="G60" s="37"/>
      <c r="H60" s="37"/>
    </row>
    <row r="61" spans="1:8" ht="40.5" x14ac:dyDescent="0.25">
      <c r="A61" s="2" t="s">
        <v>93</v>
      </c>
      <c r="B61" s="2">
        <v>1</v>
      </c>
      <c r="C61" s="157" t="s">
        <v>136</v>
      </c>
      <c r="D61" s="10"/>
      <c r="F61" s="36"/>
      <c r="G61" s="37"/>
      <c r="H61" s="37"/>
    </row>
    <row r="62" spans="1:8" x14ac:dyDescent="0.25">
      <c r="A62" s="50" t="s">
        <v>90</v>
      </c>
      <c r="B62" s="50">
        <v>3</v>
      </c>
      <c r="C62" s="158" t="s">
        <v>133</v>
      </c>
      <c r="D62" s="51"/>
      <c r="F62" s="36"/>
      <c r="G62" s="37"/>
      <c r="H62" s="37"/>
    </row>
    <row r="63" spans="1:8" x14ac:dyDescent="0.25">
      <c r="A63" s="50" t="s">
        <v>49</v>
      </c>
      <c r="B63" s="50">
        <v>2</v>
      </c>
      <c r="C63" s="158" t="s">
        <v>138</v>
      </c>
      <c r="D63" s="51"/>
      <c r="F63" s="38"/>
      <c r="G63" s="39"/>
      <c r="H63" s="39"/>
    </row>
    <row r="64" spans="1:8" x14ac:dyDescent="0.25">
      <c r="A64" s="50" t="s">
        <v>49</v>
      </c>
      <c r="B64" s="50">
        <v>3</v>
      </c>
      <c r="C64" s="158" t="s">
        <v>139</v>
      </c>
      <c r="D64" s="51"/>
      <c r="F64" s="38"/>
      <c r="G64" s="39"/>
      <c r="H64" s="39"/>
    </row>
    <row r="65" spans="1:8" x14ac:dyDescent="0.25">
      <c r="A65" s="50" t="s">
        <v>49</v>
      </c>
      <c r="B65" s="50">
        <v>1</v>
      </c>
      <c r="C65" s="158" t="s">
        <v>140</v>
      </c>
      <c r="D65" s="51"/>
      <c r="F65" s="38"/>
      <c r="G65" s="39"/>
      <c r="H65" s="39"/>
    </row>
    <row r="66" spans="1:8" ht="40.5" x14ac:dyDescent="0.25">
      <c r="A66" s="50" t="s">
        <v>49</v>
      </c>
      <c r="B66" s="50">
        <v>6</v>
      </c>
      <c r="C66" s="158" t="s">
        <v>141</v>
      </c>
      <c r="D66" s="51"/>
      <c r="F66" s="38"/>
      <c r="G66" s="39"/>
      <c r="H66" s="39"/>
    </row>
    <row r="67" spans="1:8" ht="27" x14ac:dyDescent="0.25">
      <c r="A67" s="50" t="s">
        <v>94</v>
      </c>
      <c r="B67" s="50">
        <v>4</v>
      </c>
      <c r="C67" s="158" t="s">
        <v>143</v>
      </c>
      <c r="D67" s="51"/>
      <c r="F67" s="38"/>
      <c r="G67" s="39"/>
      <c r="H67" s="39"/>
    </row>
    <row r="68" spans="1:8" x14ac:dyDescent="0.25">
      <c r="A68" s="50" t="s">
        <v>20</v>
      </c>
      <c r="B68" s="50">
        <v>1</v>
      </c>
      <c r="C68" s="158" t="s">
        <v>142</v>
      </c>
      <c r="D68" s="51"/>
      <c r="F68" s="38"/>
      <c r="G68" s="39"/>
      <c r="H68" s="39"/>
    </row>
    <row r="69" spans="1:8" ht="15" thickBot="1" x14ac:dyDescent="0.35">
      <c r="A69" s="3" t="s">
        <v>42</v>
      </c>
      <c r="B69" s="3">
        <v>1</v>
      </c>
      <c r="C69" s="157" t="s">
        <v>39</v>
      </c>
      <c r="D69" s="11"/>
      <c r="F69" s="40"/>
      <c r="G69" s="40"/>
      <c r="H69" s="40"/>
    </row>
    <row r="70" spans="1:8" ht="14.25" thickBot="1" x14ac:dyDescent="0.3">
      <c r="A70" s="47" t="s">
        <v>21</v>
      </c>
      <c r="B70" s="47">
        <f>SUM(B40:B69)</f>
        <v>90</v>
      </c>
      <c r="C70" s="159" t="s">
        <v>28</v>
      </c>
      <c r="D70" s="48"/>
    </row>
    <row r="71" spans="1:8" ht="15" thickBot="1" x14ac:dyDescent="0.35">
      <c r="A71" s="49"/>
      <c r="B71" s="49"/>
      <c r="C71" s="160"/>
      <c r="D71" s="49"/>
    </row>
    <row r="72" spans="1:8" ht="18.75" thickBot="1" x14ac:dyDescent="0.3">
      <c r="A72" s="42" t="s">
        <v>13</v>
      </c>
      <c r="B72" s="43">
        <v>3</v>
      </c>
      <c r="C72" s="152" t="s">
        <v>22</v>
      </c>
      <c r="D72" s="53">
        <f>$D$38+7</f>
        <v>44963</v>
      </c>
    </row>
    <row r="73" spans="1:8" ht="27.75" thickBot="1" x14ac:dyDescent="0.3">
      <c r="A73" s="45" t="s">
        <v>2</v>
      </c>
      <c r="B73" s="46" t="s">
        <v>14</v>
      </c>
      <c r="C73" s="153" t="s">
        <v>6</v>
      </c>
      <c r="D73" s="45" t="s">
        <v>12</v>
      </c>
    </row>
    <row r="74" spans="1:8" x14ac:dyDescent="0.25">
      <c r="A74" s="5"/>
      <c r="B74" s="4"/>
      <c r="C74" s="154" t="s">
        <v>30</v>
      </c>
      <c r="D74" s="9"/>
    </row>
    <row r="75" spans="1:8" ht="27" x14ac:dyDescent="0.25">
      <c r="A75" s="172" t="s">
        <v>94</v>
      </c>
      <c r="B75" s="173">
        <v>9</v>
      </c>
      <c r="C75" s="191" t="s">
        <v>148</v>
      </c>
      <c r="D75" s="192" t="s">
        <v>173</v>
      </c>
    </row>
    <row r="76" spans="1:8" ht="54" x14ac:dyDescent="0.25">
      <c r="A76" s="172" t="s">
        <v>98</v>
      </c>
      <c r="B76" s="173">
        <v>4</v>
      </c>
      <c r="C76" s="191" t="s">
        <v>146</v>
      </c>
      <c r="D76" s="193" t="s">
        <v>145</v>
      </c>
    </row>
    <row r="77" spans="1:8" ht="27" x14ac:dyDescent="0.25">
      <c r="A77" s="172" t="s">
        <v>100</v>
      </c>
      <c r="B77" s="173">
        <v>4</v>
      </c>
      <c r="C77" s="191" t="s">
        <v>149</v>
      </c>
      <c r="D77" s="88"/>
    </row>
    <row r="78" spans="1:8" ht="40.5" x14ac:dyDescent="0.25">
      <c r="A78" s="1" t="s">
        <v>99</v>
      </c>
      <c r="B78" s="2">
        <v>4</v>
      </c>
      <c r="C78" s="157" t="s">
        <v>147</v>
      </c>
      <c r="D78" s="167" t="s">
        <v>144</v>
      </c>
    </row>
    <row r="79" spans="1:8" x14ac:dyDescent="0.25">
      <c r="A79" s="1" t="s">
        <v>42</v>
      </c>
      <c r="B79" s="2">
        <v>1</v>
      </c>
      <c r="C79" s="157" t="s">
        <v>39</v>
      </c>
      <c r="D79" s="167"/>
    </row>
    <row r="80" spans="1:8" x14ac:dyDescent="0.25">
      <c r="A80" s="1" t="s">
        <v>90</v>
      </c>
      <c r="B80" s="2">
        <v>2</v>
      </c>
      <c r="C80" s="158" t="s">
        <v>133</v>
      </c>
      <c r="D80" s="167"/>
    </row>
    <row r="81" spans="1:4" x14ac:dyDescent="0.25">
      <c r="A81" s="1"/>
      <c r="B81" s="2"/>
      <c r="C81" s="156" t="s">
        <v>31</v>
      </c>
      <c r="D81" s="167"/>
    </row>
    <row r="82" spans="1:4" ht="76.5" x14ac:dyDescent="0.25">
      <c r="A82" s="1" t="s">
        <v>100</v>
      </c>
      <c r="B82" s="2">
        <v>19</v>
      </c>
      <c r="C82" s="157" t="s">
        <v>154</v>
      </c>
      <c r="D82" s="167" t="s">
        <v>150</v>
      </c>
    </row>
    <row r="83" spans="1:4" x14ac:dyDescent="0.25">
      <c r="A83" s="1" t="s">
        <v>90</v>
      </c>
      <c r="B83" s="2">
        <v>4</v>
      </c>
      <c r="C83" s="158" t="s">
        <v>133</v>
      </c>
      <c r="D83" s="167"/>
    </row>
    <row r="84" spans="1:4" x14ac:dyDescent="0.25">
      <c r="A84" s="1" t="s">
        <v>49</v>
      </c>
      <c r="B84" s="2">
        <v>3</v>
      </c>
      <c r="C84" s="157" t="s">
        <v>151</v>
      </c>
      <c r="D84" s="167"/>
    </row>
    <row r="85" spans="1:4" x14ac:dyDescent="0.25">
      <c r="A85" s="1" t="s">
        <v>42</v>
      </c>
      <c r="B85" s="2">
        <v>1</v>
      </c>
      <c r="C85" s="157" t="s">
        <v>39</v>
      </c>
      <c r="D85" s="10"/>
    </row>
    <row r="86" spans="1:4" x14ac:dyDescent="0.25">
      <c r="A86" s="1"/>
      <c r="B86" s="2"/>
      <c r="C86" s="156" t="s">
        <v>32</v>
      </c>
      <c r="D86" s="10"/>
    </row>
    <row r="87" spans="1:4" ht="51" x14ac:dyDescent="0.25">
      <c r="A87" s="1" t="s">
        <v>96</v>
      </c>
      <c r="B87" s="2">
        <v>8</v>
      </c>
      <c r="C87" s="157" t="s">
        <v>153</v>
      </c>
      <c r="D87" s="167" t="s">
        <v>152</v>
      </c>
    </row>
    <row r="88" spans="1:4" x14ac:dyDescent="0.25">
      <c r="A88" s="1" t="s">
        <v>90</v>
      </c>
      <c r="B88" s="2">
        <v>3</v>
      </c>
      <c r="C88" s="158" t="s">
        <v>133</v>
      </c>
      <c r="D88" s="10"/>
    </row>
    <row r="89" spans="1:4" x14ac:dyDescent="0.25">
      <c r="A89" s="1" t="s">
        <v>42</v>
      </c>
      <c r="B89" s="2">
        <v>1</v>
      </c>
      <c r="C89" s="157" t="s">
        <v>39</v>
      </c>
      <c r="D89" s="10"/>
    </row>
    <row r="90" spans="1:4" x14ac:dyDescent="0.25">
      <c r="A90" s="2"/>
      <c r="B90" s="2"/>
      <c r="C90" s="156" t="s">
        <v>33</v>
      </c>
      <c r="D90" s="10"/>
    </row>
    <row r="91" spans="1:4" ht="27" x14ac:dyDescent="0.25">
      <c r="A91" s="2" t="s">
        <v>100</v>
      </c>
      <c r="B91" s="2">
        <v>1</v>
      </c>
      <c r="C91" s="157" t="s">
        <v>156</v>
      </c>
      <c r="D91" s="10"/>
    </row>
    <row r="92" spans="1:4" ht="94.5" x14ac:dyDescent="0.25">
      <c r="A92" s="2" t="s">
        <v>99</v>
      </c>
      <c r="B92" s="2">
        <v>5</v>
      </c>
      <c r="C92" s="157" t="s">
        <v>157</v>
      </c>
      <c r="D92" s="195" t="s">
        <v>155</v>
      </c>
    </row>
    <row r="93" spans="1:4" x14ac:dyDescent="0.25">
      <c r="A93" s="50" t="s">
        <v>90</v>
      </c>
      <c r="B93" s="50">
        <v>3</v>
      </c>
      <c r="C93" s="158" t="s">
        <v>133</v>
      </c>
      <c r="D93" s="51"/>
    </row>
    <row r="94" spans="1:4" x14ac:dyDescent="0.25">
      <c r="A94" s="50" t="s">
        <v>49</v>
      </c>
      <c r="B94" s="50">
        <v>6</v>
      </c>
      <c r="C94" s="158" t="s">
        <v>158</v>
      </c>
      <c r="D94" s="51"/>
    </row>
    <row r="95" spans="1:4" ht="40.5" x14ac:dyDescent="0.25">
      <c r="A95" s="50" t="s">
        <v>47</v>
      </c>
      <c r="B95" s="50">
        <v>5</v>
      </c>
      <c r="C95" s="158" t="s">
        <v>161</v>
      </c>
      <c r="D95" s="51"/>
    </row>
    <row r="96" spans="1:4" ht="27" x14ac:dyDescent="0.25">
      <c r="A96" s="174" t="s">
        <v>48</v>
      </c>
      <c r="B96" s="50">
        <v>5</v>
      </c>
      <c r="C96" s="158" t="s">
        <v>160</v>
      </c>
      <c r="D96" s="51"/>
    </row>
    <row r="97" spans="1:4" ht="14.25" thickBot="1" x14ac:dyDescent="0.3">
      <c r="A97" s="3" t="s">
        <v>42</v>
      </c>
      <c r="B97" s="3">
        <v>2</v>
      </c>
      <c r="C97" s="157" t="s">
        <v>39</v>
      </c>
      <c r="D97" s="11"/>
    </row>
    <row r="98" spans="1:4" ht="14.25" thickBot="1" x14ac:dyDescent="0.3">
      <c r="A98" s="47" t="s">
        <v>21</v>
      </c>
      <c r="B98" s="47">
        <f>SUM(B74:B97)</f>
        <v>90</v>
      </c>
      <c r="C98" s="159" t="s">
        <v>28</v>
      </c>
      <c r="D98" s="48"/>
    </row>
    <row r="99" spans="1:4" ht="15" thickBot="1" x14ac:dyDescent="0.35">
      <c r="A99" s="49"/>
      <c r="B99" s="49"/>
      <c r="C99" s="160"/>
      <c r="D99" s="49"/>
    </row>
    <row r="100" spans="1:4" ht="18.75" thickBot="1" x14ac:dyDescent="0.3">
      <c r="A100" s="42" t="s">
        <v>13</v>
      </c>
      <c r="B100" s="43">
        <v>4</v>
      </c>
      <c r="C100" s="152" t="s">
        <v>22</v>
      </c>
      <c r="D100" s="53">
        <f>$D$72+7</f>
        <v>44970</v>
      </c>
    </row>
    <row r="101" spans="1:4" ht="27.75" thickBot="1" x14ac:dyDescent="0.3">
      <c r="A101" s="45" t="s">
        <v>2</v>
      </c>
      <c r="B101" s="46" t="s">
        <v>14</v>
      </c>
      <c r="C101" s="153" t="s">
        <v>6</v>
      </c>
      <c r="D101" s="45" t="s">
        <v>12</v>
      </c>
    </row>
    <row r="102" spans="1:4" ht="14.25" thickBot="1" x14ac:dyDescent="0.3">
      <c r="A102" s="5" t="s">
        <v>20</v>
      </c>
      <c r="B102" s="4">
        <v>90</v>
      </c>
      <c r="C102" s="161" t="s">
        <v>34</v>
      </c>
      <c r="D102" s="9"/>
    </row>
    <row r="103" spans="1:4" ht="14.25" thickBot="1" x14ac:dyDescent="0.3">
      <c r="A103" s="47" t="s">
        <v>21</v>
      </c>
      <c r="B103" s="47">
        <f>SUM(B102:B102)</f>
        <v>90</v>
      </c>
      <c r="C103" s="159" t="s">
        <v>28</v>
      </c>
      <c r="D103" s="48"/>
    </row>
    <row r="104" spans="1:4" ht="15" thickBot="1" x14ac:dyDescent="0.35">
      <c r="A104" s="49"/>
      <c r="B104" s="49"/>
      <c r="C104" s="160"/>
      <c r="D104" s="49"/>
    </row>
    <row r="105" spans="1:4" ht="18.75" thickBot="1" x14ac:dyDescent="0.3">
      <c r="A105" s="42" t="s">
        <v>13</v>
      </c>
      <c r="B105" s="43">
        <v>5</v>
      </c>
      <c r="C105" s="152" t="s">
        <v>22</v>
      </c>
      <c r="D105" s="53">
        <f>$D$100+7</f>
        <v>44977</v>
      </c>
    </row>
    <row r="106" spans="1:4" ht="27.75" thickBot="1" x14ac:dyDescent="0.3">
      <c r="A106" s="45" t="s">
        <v>2</v>
      </c>
      <c r="B106" s="46" t="s">
        <v>14</v>
      </c>
      <c r="C106" s="153" t="s">
        <v>6</v>
      </c>
      <c r="D106" s="45" t="s">
        <v>12</v>
      </c>
    </row>
    <row r="107" spans="1:4" x14ac:dyDescent="0.25">
      <c r="A107" s="5"/>
      <c r="B107" s="4"/>
      <c r="C107" s="154" t="s">
        <v>30</v>
      </c>
      <c r="D107" s="9"/>
    </row>
    <row r="108" spans="1:4" x14ac:dyDescent="0.25">
      <c r="A108" s="1" t="s">
        <v>20</v>
      </c>
      <c r="B108" s="2">
        <v>24</v>
      </c>
      <c r="C108" s="157" t="s">
        <v>77</v>
      </c>
      <c r="D108" s="10"/>
    </row>
    <row r="109" spans="1:4" x14ac:dyDescent="0.25">
      <c r="A109" s="1"/>
      <c r="B109" s="2"/>
      <c r="C109" s="156" t="s">
        <v>31</v>
      </c>
      <c r="D109" s="10"/>
    </row>
    <row r="110" spans="1:4" x14ac:dyDescent="0.25">
      <c r="A110" s="1" t="s">
        <v>49</v>
      </c>
      <c r="B110" s="2">
        <v>3</v>
      </c>
      <c r="C110" s="157" t="s">
        <v>159</v>
      </c>
      <c r="D110" s="10"/>
    </row>
    <row r="111" spans="1:4" x14ac:dyDescent="0.25">
      <c r="A111" s="1" t="s">
        <v>90</v>
      </c>
      <c r="B111" s="2">
        <v>19</v>
      </c>
      <c r="C111" s="158" t="s">
        <v>133</v>
      </c>
      <c r="D111" s="10"/>
    </row>
    <row r="112" spans="1:4" x14ac:dyDescent="0.25">
      <c r="A112" s="1" t="s">
        <v>49</v>
      </c>
      <c r="B112" s="2">
        <v>2</v>
      </c>
      <c r="C112" s="158" t="s">
        <v>178</v>
      </c>
      <c r="D112" s="10"/>
    </row>
    <row r="113" spans="1:4" x14ac:dyDescent="0.25">
      <c r="A113" s="1" t="s">
        <v>49</v>
      </c>
      <c r="B113" s="2">
        <v>2</v>
      </c>
      <c r="C113" s="158" t="s">
        <v>162</v>
      </c>
      <c r="D113" s="10"/>
    </row>
    <row r="114" spans="1:4" x14ac:dyDescent="0.25">
      <c r="A114" s="1" t="s">
        <v>42</v>
      </c>
      <c r="B114" s="2">
        <v>1</v>
      </c>
      <c r="C114" s="157" t="s">
        <v>39</v>
      </c>
      <c r="D114" s="10"/>
    </row>
    <row r="115" spans="1:4" x14ac:dyDescent="0.25">
      <c r="A115" s="1"/>
      <c r="B115" s="2"/>
      <c r="C115" s="156" t="s">
        <v>32</v>
      </c>
      <c r="D115" s="10"/>
    </row>
    <row r="116" spans="1:4" x14ac:dyDescent="0.25">
      <c r="A116" s="1" t="s">
        <v>90</v>
      </c>
      <c r="B116" s="2">
        <v>11</v>
      </c>
      <c r="C116" s="158" t="s">
        <v>133</v>
      </c>
      <c r="D116" s="10"/>
    </row>
    <row r="117" spans="1:4" x14ac:dyDescent="0.25">
      <c r="A117" s="1" t="s">
        <v>42</v>
      </c>
      <c r="B117" s="2">
        <v>1</v>
      </c>
      <c r="C117" s="157" t="s">
        <v>39</v>
      </c>
      <c r="D117" s="10"/>
    </row>
    <row r="118" spans="1:4" x14ac:dyDescent="0.25">
      <c r="A118" s="2"/>
      <c r="B118" s="2"/>
      <c r="C118" s="156" t="s">
        <v>33</v>
      </c>
      <c r="D118" s="10"/>
    </row>
    <row r="119" spans="1:4" x14ac:dyDescent="0.25">
      <c r="A119" s="2" t="s">
        <v>90</v>
      </c>
      <c r="B119" s="2">
        <v>15</v>
      </c>
      <c r="C119" s="158" t="s">
        <v>133</v>
      </c>
      <c r="D119" s="196" t="s">
        <v>163</v>
      </c>
    </row>
    <row r="120" spans="1:4" x14ac:dyDescent="0.25">
      <c r="A120" s="2" t="s">
        <v>42</v>
      </c>
      <c r="B120" s="2">
        <v>1</v>
      </c>
      <c r="C120" s="157" t="s">
        <v>39</v>
      </c>
      <c r="D120" s="10"/>
    </row>
    <row r="121" spans="1:4" x14ac:dyDescent="0.25">
      <c r="A121" s="50" t="s">
        <v>49</v>
      </c>
      <c r="B121" s="50">
        <v>6</v>
      </c>
      <c r="C121" s="158" t="s">
        <v>164</v>
      </c>
      <c r="D121" s="51"/>
    </row>
    <row r="122" spans="1:4" ht="27" x14ac:dyDescent="0.25">
      <c r="A122" s="50" t="s">
        <v>49</v>
      </c>
      <c r="B122" s="50">
        <v>3</v>
      </c>
      <c r="C122" s="158" t="s">
        <v>165</v>
      </c>
      <c r="D122" s="51"/>
    </row>
    <row r="123" spans="1:4" ht="27.75" thickBot="1" x14ac:dyDescent="0.3">
      <c r="A123" s="3" t="s">
        <v>49</v>
      </c>
      <c r="B123" s="3">
        <v>2</v>
      </c>
      <c r="C123" s="197" t="s">
        <v>166</v>
      </c>
      <c r="D123" s="11"/>
    </row>
    <row r="124" spans="1:4" ht="14.25" thickBot="1" x14ac:dyDescent="0.3">
      <c r="A124" s="47" t="s">
        <v>21</v>
      </c>
      <c r="B124" s="47">
        <f>SUM(B107:B123)</f>
        <v>90</v>
      </c>
      <c r="C124" s="159" t="s">
        <v>28</v>
      </c>
      <c r="D124" s="48"/>
    </row>
    <row r="125" spans="1:4" ht="15" thickBot="1" x14ac:dyDescent="0.35">
      <c r="A125" s="49"/>
      <c r="B125" s="49"/>
      <c r="C125" s="160"/>
      <c r="D125" s="49"/>
    </row>
    <row r="126" spans="1:4" ht="18.75" thickBot="1" x14ac:dyDescent="0.3">
      <c r="A126" s="42" t="s">
        <v>13</v>
      </c>
      <c r="B126" s="43">
        <v>6</v>
      </c>
      <c r="C126" s="152" t="s">
        <v>22</v>
      </c>
      <c r="D126" s="53">
        <f>$D$105+7</f>
        <v>44984</v>
      </c>
    </row>
    <row r="127" spans="1:4" ht="27.75" thickBot="1" x14ac:dyDescent="0.3">
      <c r="A127" s="45" t="s">
        <v>2</v>
      </c>
      <c r="B127" s="46" t="s">
        <v>14</v>
      </c>
      <c r="C127" s="153" t="s">
        <v>6</v>
      </c>
      <c r="D127" s="45" t="s">
        <v>12</v>
      </c>
    </row>
    <row r="128" spans="1:4" x14ac:dyDescent="0.25">
      <c r="A128" s="5"/>
      <c r="B128" s="4"/>
      <c r="C128" s="154" t="s">
        <v>30</v>
      </c>
      <c r="D128" s="9"/>
    </row>
    <row r="129" spans="1:4" x14ac:dyDescent="0.25">
      <c r="A129" s="172" t="s">
        <v>49</v>
      </c>
      <c r="B129" s="173">
        <v>3</v>
      </c>
      <c r="C129" s="191" t="s">
        <v>169</v>
      </c>
      <c r="D129" s="88"/>
    </row>
    <row r="130" spans="1:4" x14ac:dyDescent="0.25">
      <c r="A130" s="1" t="s">
        <v>49</v>
      </c>
      <c r="B130" s="2">
        <v>3</v>
      </c>
      <c r="C130" s="157" t="s">
        <v>159</v>
      </c>
      <c r="D130" s="10"/>
    </row>
    <row r="131" spans="1:4" x14ac:dyDescent="0.25">
      <c r="A131" s="1" t="s">
        <v>49</v>
      </c>
      <c r="B131" s="2">
        <v>5</v>
      </c>
      <c r="C131" s="157" t="s">
        <v>167</v>
      </c>
      <c r="D131" s="10"/>
    </row>
    <row r="132" spans="1:4" x14ac:dyDescent="0.25">
      <c r="A132" s="1" t="s">
        <v>42</v>
      </c>
      <c r="B132" s="2">
        <v>1</v>
      </c>
      <c r="C132" s="157" t="s">
        <v>39</v>
      </c>
      <c r="D132" s="10"/>
    </row>
    <row r="133" spans="1:4" x14ac:dyDescent="0.25">
      <c r="A133" s="1" t="s">
        <v>49</v>
      </c>
      <c r="B133" s="2">
        <v>8</v>
      </c>
      <c r="C133" s="157" t="s">
        <v>168</v>
      </c>
      <c r="D133" s="10"/>
    </row>
    <row r="134" spans="1:4" ht="27" x14ac:dyDescent="0.25">
      <c r="A134" s="1" t="s">
        <v>49</v>
      </c>
      <c r="B134" s="2">
        <v>4</v>
      </c>
      <c r="C134" s="157" t="s">
        <v>166</v>
      </c>
      <c r="D134" s="10"/>
    </row>
    <row r="135" spans="1:4" x14ac:dyDescent="0.25">
      <c r="A135" s="1"/>
      <c r="B135" s="2"/>
      <c r="C135" s="198" t="s">
        <v>31</v>
      </c>
      <c r="D135" s="10"/>
    </row>
    <row r="136" spans="1:4" x14ac:dyDescent="0.25">
      <c r="A136" s="1" t="s">
        <v>90</v>
      </c>
      <c r="B136" s="2">
        <v>19</v>
      </c>
      <c r="C136" s="158" t="s">
        <v>133</v>
      </c>
      <c r="D136" s="10"/>
    </row>
    <row r="137" spans="1:4" ht="27" x14ac:dyDescent="0.25">
      <c r="A137" s="1" t="s">
        <v>49</v>
      </c>
      <c r="B137" s="2">
        <v>7</v>
      </c>
      <c r="C137" s="157" t="s">
        <v>166</v>
      </c>
      <c r="D137" s="10"/>
    </row>
    <row r="138" spans="1:4" x14ac:dyDescent="0.25">
      <c r="A138" s="1" t="s">
        <v>42</v>
      </c>
      <c r="B138" s="2">
        <v>1</v>
      </c>
      <c r="C138" s="157" t="s">
        <v>39</v>
      </c>
      <c r="D138" s="10"/>
    </row>
    <row r="139" spans="1:4" x14ac:dyDescent="0.25">
      <c r="A139" s="1"/>
      <c r="B139" s="2"/>
      <c r="C139" s="156" t="s">
        <v>32</v>
      </c>
      <c r="D139" s="10"/>
    </row>
    <row r="140" spans="1:4" x14ac:dyDescent="0.25">
      <c r="A140" s="1" t="s">
        <v>90</v>
      </c>
      <c r="B140" s="2">
        <v>11</v>
      </c>
      <c r="C140" s="158" t="s">
        <v>133</v>
      </c>
      <c r="D140" s="10"/>
    </row>
    <row r="141" spans="1:4" x14ac:dyDescent="0.25">
      <c r="A141" s="1" t="s">
        <v>42</v>
      </c>
      <c r="B141" s="2">
        <v>1</v>
      </c>
      <c r="C141" s="157" t="s">
        <v>39</v>
      </c>
      <c r="D141" s="10"/>
    </row>
    <row r="142" spans="1:4" x14ac:dyDescent="0.25">
      <c r="A142" s="2"/>
      <c r="B142" s="2"/>
      <c r="C142" s="156" t="s">
        <v>33</v>
      </c>
      <c r="D142" s="10"/>
    </row>
    <row r="143" spans="1:4" x14ac:dyDescent="0.25">
      <c r="A143" s="2" t="s">
        <v>49</v>
      </c>
      <c r="B143" s="2">
        <v>3</v>
      </c>
      <c r="C143" s="157" t="s">
        <v>176</v>
      </c>
      <c r="D143" s="10"/>
    </row>
    <row r="144" spans="1:4" x14ac:dyDescent="0.25">
      <c r="A144" s="2" t="s">
        <v>49</v>
      </c>
      <c r="B144" s="2">
        <v>6</v>
      </c>
      <c r="C144" s="157" t="s">
        <v>199</v>
      </c>
      <c r="D144" s="10"/>
    </row>
    <row r="145" spans="1:4" x14ac:dyDescent="0.25">
      <c r="A145" s="50" t="s">
        <v>49</v>
      </c>
      <c r="B145" s="50">
        <v>3</v>
      </c>
      <c r="C145" s="158" t="s">
        <v>175</v>
      </c>
      <c r="D145" s="51"/>
    </row>
    <row r="146" spans="1:4" x14ac:dyDescent="0.25">
      <c r="A146" s="50" t="s">
        <v>90</v>
      </c>
      <c r="B146" s="50">
        <v>14</v>
      </c>
      <c r="C146" s="158" t="s">
        <v>133</v>
      </c>
      <c r="D146" s="51"/>
    </row>
    <row r="147" spans="1:4" ht="14.25" thickBot="1" x14ac:dyDescent="0.3">
      <c r="A147" s="3" t="s">
        <v>42</v>
      </c>
      <c r="B147" s="3">
        <v>1</v>
      </c>
      <c r="C147" s="157" t="s">
        <v>39</v>
      </c>
      <c r="D147" s="11"/>
    </row>
    <row r="148" spans="1:4" ht="14.25" thickBot="1" x14ac:dyDescent="0.3">
      <c r="A148" s="47" t="s">
        <v>21</v>
      </c>
      <c r="B148" s="47">
        <f>SUM(B128:B147)</f>
        <v>90</v>
      </c>
      <c r="C148" s="159" t="s">
        <v>28</v>
      </c>
      <c r="D148" s="48"/>
    </row>
    <row r="149" spans="1:4" ht="15" thickBot="1" x14ac:dyDescent="0.35">
      <c r="A149" s="49"/>
      <c r="B149" s="49"/>
      <c r="C149" s="160"/>
      <c r="D149" s="49"/>
    </row>
    <row r="150" spans="1:4" ht="18.75" thickBot="1" x14ac:dyDescent="0.3">
      <c r="A150" s="42" t="s">
        <v>13</v>
      </c>
      <c r="B150" s="43">
        <v>7</v>
      </c>
      <c r="C150" s="152" t="s">
        <v>22</v>
      </c>
      <c r="D150" s="53">
        <f>$D$126+7</f>
        <v>44991</v>
      </c>
    </row>
    <row r="151" spans="1:4" ht="27.75" thickBot="1" x14ac:dyDescent="0.3">
      <c r="A151" s="45" t="s">
        <v>2</v>
      </c>
      <c r="B151" s="46" t="s">
        <v>14</v>
      </c>
      <c r="C151" s="153" t="s">
        <v>6</v>
      </c>
      <c r="D151" s="45" t="s">
        <v>12</v>
      </c>
    </row>
    <row r="152" spans="1:4" x14ac:dyDescent="0.25">
      <c r="A152" s="5"/>
      <c r="B152" s="4"/>
      <c r="C152" s="154" t="s">
        <v>30</v>
      </c>
      <c r="D152" s="9"/>
    </row>
    <row r="153" spans="1:4" x14ac:dyDescent="0.25">
      <c r="A153" s="172" t="s">
        <v>49</v>
      </c>
      <c r="B153" s="173">
        <v>6</v>
      </c>
      <c r="C153" s="191" t="s">
        <v>179</v>
      </c>
      <c r="D153" s="88"/>
    </row>
    <row r="154" spans="1:4" ht="14.25" customHeight="1" x14ac:dyDescent="0.25">
      <c r="A154" s="1" t="s">
        <v>90</v>
      </c>
      <c r="B154" s="2">
        <v>15</v>
      </c>
      <c r="C154" s="158" t="s">
        <v>133</v>
      </c>
      <c r="D154" s="10"/>
    </row>
    <row r="155" spans="1:4" ht="14.25" customHeight="1" x14ac:dyDescent="0.25">
      <c r="A155" s="1" t="s">
        <v>49</v>
      </c>
      <c r="B155" s="2">
        <v>2</v>
      </c>
      <c r="C155" s="157" t="s">
        <v>177</v>
      </c>
      <c r="D155" s="10"/>
    </row>
    <row r="156" spans="1:4" x14ac:dyDescent="0.25">
      <c r="A156" s="1" t="s">
        <v>42</v>
      </c>
      <c r="B156" s="2">
        <v>1</v>
      </c>
      <c r="C156" s="157" t="s">
        <v>39</v>
      </c>
      <c r="D156" s="10"/>
    </row>
    <row r="157" spans="1:4" x14ac:dyDescent="0.25">
      <c r="A157" s="1"/>
      <c r="B157" s="2"/>
      <c r="C157" s="156" t="s">
        <v>31</v>
      </c>
      <c r="D157" s="10"/>
    </row>
    <row r="158" spans="1:4" x14ac:dyDescent="0.25">
      <c r="A158" s="1" t="s">
        <v>20</v>
      </c>
      <c r="B158" s="2">
        <v>27</v>
      </c>
      <c r="C158" s="157" t="s">
        <v>180</v>
      </c>
      <c r="D158" s="10"/>
    </row>
    <row r="159" spans="1:4" x14ac:dyDescent="0.25">
      <c r="A159" s="1"/>
      <c r="B159" s="2"/>
      <c r="C159" s="156" t="s">
        <v>32</v>
      </c>
      <c r="D159" s="10"/>
    </row>
    <row r="160" spans="1:4" x14ac:dyDescent="0.25">
      <c r="A160" s="1" t="s">
        <v>90</v>
      </c>
      <c r="B160" s="2">
        <v>2</v>
      </c>
      <c r="C160" s="158" t="s">
        <v>133</v>
      </c>
      <c r="D160" s="10"/>
    </row>
    <row r="161" spans="1:4" x14ac:dyDescent="0.25">
      <c r="A161" s="1" t="s">
        <v>49</v>
      </c>
      <c r="B161" s="2">
        <v>9</v>
      </c>
      <c r="C161" s="157" t="s">
        <v>181</v>
      </c>
      <c r="D161" s="10"/>
    </row>
    <row r="162" spans="1:4" x14ac:dyDescent="0.25">
      <c r="A162" s="1" t="s">
        <v>42</v>
      </c>
      <c r="B162" s="2">
        <v>1</v>
      </c>
      <c r="C162" s="157" t="s">
        <v>39</v>
      </c>
      <c r="D162" s="10"/>
    </row>
    <row r="163" spans="1:4" x14ac:dyDescent="0.25">
      <c r="A163" s="2"/>
      <c r="B163" s="2"/>
      <c r="C163" s="156" t="s">
        <v>33</v>
      </c>
      <c r="D163" s="10"/>
    </row>
    <row r="164" spans="1:4" ht="14.25" thickBot="1" x14ac:dyDescent="0.3">
      <c r="A164" s="2" t="s">
        <v>20</v>
      </c>
      <c r="B164" s="2">
        <v>27</v>
      </c>
      <c r="C164" s="157" t="s">
        <v>180</v>
      </c>
      <c r="D164" s="10"/>
    </row>
    <row r="165" spans="1:4" ht="14.25" thickBot="1" x14ac:dyDescent="0.3">
      <c r="A165" s="47" t="s">
        <v>21</v>
      </c>
      <c r="B165" s="47">
        <f>SUM(B152:B164)</f>
        <v>90</v>
      </c>
      <c r="C165" s="159" t="s">
        <v>28</v>
      </c>
      <c r="D165" s="48"/>
    </row>
    <row r="166" spans="1:4" ht="15" thickBot="1" x14ac:dyDescent="0.35">
      <c r="A166" s="49"/>
      <c r="B166" s="49"/>
      <c r="C166" s="160"/>
      <c r="D166" s="49"/>
    </row>
    <row r="167" spans="1:4" ht="18.75" thickBot="1" x14ac:dyDescent="0.3">
      <c r="A167" s="42" t="s">
        <v>13</v>
      </c>
      <c r="B167" s="43">
        <v>8</v>
      </c>
      <c r="C167" s="152" t="s">
        <v>22</v>
      </c>
      <c r="D167" s="53">
        <f>$D$150+7</f>
        <v>44998</v>
      </c>
    </row>
    <row r="168" spans="1:4" ht="27.75" thickBot="1" x14ac:dyDescent="0.3">
      <c r="A168" s="45" t="s">
        <v>2</v>
      </c>
      <c r="B168" s="46" t="s">
        <v>14</v>
      </c>
      <c r="C168" s="153" t="s">
        <v>6</v>
      </c>
      <c r="D168" s="45" t="s">
        <v>12</v>
      </c>
    </row>
    <row r="169" spans="1:4" x14ac:dyDescent="0.25">
      <c r="A169" s="5"/>
      <c r="B169" s="4"/>
      <c r="C169" s="154" t="s">
        <v>30</v>
      </c>
      <c r="D169" s="9"/>
    </row>
    <row r="170" spans="1:4" ht="27" x14ac:dyDescent="0.25">
      <c r="A170" s="1" t="s">
        <v>91</v>
      </c>
      <c r="B170" s="2">
        <v>14</v>
      </c>
      <c r="C170" s="157" t="s">
        <v>124</v>
      </c>
      <c r="D170" s="10"/>
    </row>
    <row r="171" spans="1:4" x14ac:dyDescent="0.25">
      <c r="A171" s="1" t="s">
        <v>49</v>
      </c>
      <c r="B171" s="2">
        <v>2</v>
      </c>
      <c r="C171" s="157" t="s">
        <v>182</v>
      </c>
      <c r="D171" s="10"/>
    </row>
    <row r="172" spans="1:4" x14ac:dyDescent="0.25">
      <c r="A172" s="1" t="s">
        <v>49</v>
      </c>
      <c r="B172" s="2">
        <v>3</v>
      </c>
      <c r="C172" s="157" t="s">
        <v>183</v>
      </c>
      <c r="D172" s="10"/>
    </row>
    <row r="173" spans="1:4" x14ac:dyDescent="0.25">
      <c r="A173" s="1" t="s">
        <v>49</v>
      </c>
      <c r="B173" s="2">
        <v>4</v>
      </c>
      <c r="C173" s="157" t="s">
        <v>184</v>
      </c>
      <c r="D173" s="10"/>
    </row>
    <row r="174" spans="1:4" x14ac:dyDescent="0.25">
      <c r="A174" s="1" t="s">
        <v>42</v>
      </c>
      <c r="B174" s="2">
        <v>1</v>
      </c>
      <c r="C174" s="157" t="s">
        <v>39</v>
      </c>
      <c r="D174" s="10"/>
    </row>
    <row r="175" spans="1:4" x14ac:dyDescent="0.25">
      <c r="A175" s="1"/>
      <c r="B175" s="2"/>
      <c r="C175" s="156" t="s">
        <v>31</v>
      </c>
      <c r="D175" s="10"/>
    </row>
    <row r="176" spans="1:4" x14ac:dyDescent="0.25">
      <c r="A176" s="1" t="s">
        <v>49</v>
      </c>
      <c r="B176" s="2">
        <v>3</v>
      </c>
      <c r="C176" s="157" t="s">
        <v>188</v>
      </c>
      <c r="D176" s="10"/>
    </row>
    <row r="177" spans="1:4" x14ac:dyDescent="0.25">
      <c r="A177" s="1" t="s">
        <v>49</v>
      </c>
      <c r="B177" s="2">
        <v>3</v>
      </c>
      <c r="C177" s="157" t="s">
        <v>187</v>
      </c>
      <c r="D177" s="10"/>
    </row>
    <row r="178" spans="1:4" ht="27" x14ac:dyDescent="0.25">
      <c r="A178" s="1" t="s">
        <v>91</v>
      </c>
      <c r="B178" s="2">
        <v>2</v>
      </c>
      <c r="C178" s="157" t="s">
        <v>186</v>
      </c>
      <c r="D178" s="10"/>
    </row>
    <row r="179" spans="1:4" x14ac:dyDescent="0.25">
      <c r="A179" s="1" t="s">
        <v>90</v>
      </c>
      <c r="B179" s="2">
        <v>6</v>
      </c>
      <c r="C179" s="158" t="s">
        <v>133</v>
      </c>
      <c r="D179" s="10"/>
    </row>
    <row r="180" spans="1:4" x14ac:dyDescent="0.25">
      <c r="A180" s="1" t="s">
        <v>42</v>
      </c>
      <c r="B180" s="2">
        <v>1</v>
      </c>
      <c r="C180" s="157" t="s">
        <v>39</v>
      </c>
      <c r="D180" s="10"/>
    </row>
    <row r="181" spans="1:4" x14ac:dyDescent="0.25">
      <c r="A181" s="1" t="s">
        <v>49</v>
      </c>
      <c r="B181" s="2">
        <v>12</v>
      </c>
      <c r="C181" s="157" t="s">
        <v>174</v>
      </c>
      <c r="D181" s="10"/>
    </row>
    <row r="182" spans="1:4" x14ac:dyDescent="0.25">
      <c r="A182" s="1"/>
      <c r="B182" s="2"/>
      <c r="C182" s="156" t="s">
        <v>32</v>
      </c>
      <c r="D182" s="10"/>
    </row>
    <row r="183" spans="1:4" x14ac:dyDescent="0.25">
      <c r="A183" s="1" t="s">
        <v>20</v>
      </c>
      <c r="B183" s="2">
        <v>1</v>
      </c>
      <c r="C183" s="157" t="s">
        <v>200</v>
      </c>
      <c r="D183" s="10"/>
    </row>
    <row r="184" spans="1:4" x14ac:dyDescent="0.25">
      <c r="A184" s="1" t="s">
        <v>49</v>
      </c>
      <c r="B184" s="2">
        <v>4</v>
      </c>
      <c r="C184" s="157" t="s">
        <v>182</v>
      </c>
      <c r="D184" s="10"/>
    </row>
    <row r="185" spans="1:4" x14ac:dyDescent="0.25">
      <c r="A185" s="1" t="s">
        <v>42</v>
      </c>
      <c r="B185" s="2">
        <v>1</v>
      </c>
      <c r="C185" s="157" t="s">
        <v>39</v>
      </c>
      <c r="D185" s="10"/>
    </row>
    <row r="186" spans="1:4" x14ac:dyDescent="0.25">
      <c r="A186" s="1" t="s">
        <v>49</v>
      </c>
      <c r="B186" s="2">
        <v>6</v>
      </c>
      <c r="C186" s="157" t="s">
        <v>174</v>
      </c>
      <c r="D186" s="10"/>
    </row>
    <row r="187" spans="1:4" x14ac:dyDescent="0.25">
      <c r="A187" s="2"/>
      <c r="B187" s="2"/>
      <c r="C187" s="156" t="s">
        <v>33</v>
      </c>
      <c r="D187" s="10"/>
    </row>
    <row r="188" spans="1:4" x14ac:dyDescent="0.25">
      <c r="A188" s="2" t="s">
        <v>90</v>
      </c>
      <c r="B188" s="2">
        <v>12</v>
      </c>
      <c r="C188" s="157" t="s">
        <v>201</v>
      </c>
      <c r="D188" s="10"/>
    </row>
    <row r="189" spans="1:4" ht="27" x14ac:dyDescent="0.25">
      <c r="A189" s="2" t="s">
        <v>91</v>
      </c>
      <c r="B189" s="2">
        <v>2</v>
      </c>
      <c r="C189" s="157" t="s">
        <v>186</v>
      </c>
      <c r="D189" s="10"/>
    </row>
    <row r="190" spans="1:4" x14ac:dyDescent="0.25">
      <c r="A190" s="2" t="s">
        <v>42</v>
      </c>
      <c r="B190" s="2">
        <v>1</v>
      </c>
      <c r="C190" s="157" t="s">
        <v>39</v>
      </c>
      <c r="D190" s="10"/>
    </row>
    <row r="191" spans="1:4" ht="14.25" thickBot="1" x14ac:dyDescent="0.3">
      <c r="A191" s="2" t="s">
        <v>49</v>
      </c>
      <c r="B191" s="2">
        <v>12</v>
      </c>
      <c r="C191" s="157" t="s">
        <v>174</v>
      </c>
      <c r="D191" s="10"/>
    </row>
    <row r="192" spans="1:4" ht="14.25" thickBot="1" x14ac:dyDescent="0.3">
      <c r="A192" s="47" t="s">
        <v>21</v>
      </c>
      <c r="B192" s="47">
        <f>SUM(B169:B191)</f>
        <v>90</v>
      </c>
      <c r="C192" s="159" t="s">
        <v>28</v>
      </c>
      <c r="D192" s="48"/>
    </row>
    <row r="193" spans="1:4" ht="15" thickBot="1" x14ac:dyDescent="0.35">
      <c r="A193" s="49"/>
      <c r="B193" s="49"/>
      <c r="C193" s="160"/>
      <c r="D193" s="49"/>
    </row>
    <row r="194" spans="1:4" ht="18.75" thickBot="1" x14ac:dyDescent="0.3">
      <c r="A194" s="42" t="s">
        <v>13</v>
      </c>
      <c r="B194" s="43">
        <v>9</v>
      </c>
      <c r="C194" s="152" t="s">
        <v>22</v>
      </c>
      <c r="D194" s="53">
        <f>$D$167+7</f>
        <v>45005</v>
      </c>
    </row>
    <row r="195" spans="1:4" ht="27.75" thickBot="1" x14ac:dyDescent="0.3">
      <c r="A195" s="45" t="s">
        <v>2</v>
      </c>
      <c r="B195" s="46" t="s">
        <v>14</v>
      </c>
      <c r="C195" s="153" t="s">
        <v>6</v>
      </c>
      <c r="D195" s="45" t="s">
        <v>12</v>
      </c>
    </row>
    <row r="196" spans="1:4" ht="14.25" thickBot="1" x14ac:dyDescent="0.3">
      <c r="A196" s="5" t="s">
        <v>20</v>
      </c>
      <c r="B196" s="4">
        <v>90</v>
      </c>
      <c r="C196" s="199" t="s">
        <v>170</v>
      </c>
      <c r="D196" s="9"/>
    </row>
    <row r="197" spans="1:4" ht="14.25" thickBot="1" x14ac:dyDescent="0.3">
      <c r="A197" s="47" t="s">
        <v>21</v>
      </c>
      <c r="B197" s="47">
        <f>SUM(B196:B196)</f>
        <v>90</v>
      </c>
      <c r="C197" s="159" t="s">
        <v>28</v>
      </c>
      <c r="D197" s="48"/>
    </row>
    <row r="198" spans="1:4" ht="14.25" x14ac:dyDescent="0.3">
      <c r="A198" s="49"/>
      <c r="B198" s="49"/>
      <c r="C198" s="160"/>
      <c r="D198" s="49"/>
    </row>
    <row r="199" spans="1:4" x14ac:dyDescent="0.25">
      <c r="A199"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107:B123 B196 B102 B40:B69 F54:F62 B3:B35 B74:B97 B128:B147 B152:B164 B169:B191"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8 B103 B124 B148 B165 B192 B197" xr:uid="{EACDBB53-AF42-441D-8FB7-12197BB4F1D8}">
      <formula1>0</formula1>
      <formula2>NbPerWeek * NbQuartPer</formula2>
    </dataValidation>
    <dataValidation type="list" allowBlank="1" showInputMessage="1" showErrorMessage="1" sqref="A107:A123 A196 A102 A40:A69 A3:A35 A74:A97 A128:A147 A152:A164 A169:A191"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display="https://www.hostinger.fr/tutoriels/redirection-php_x000a_" xr:uid="{E5ED172A-F902-4124-A24B-6CB1666A8FD1}"/>
    <hyperlink ref="D78" r:id="rId9" xr:uid="{23DF46C1-1C20-4445-B6E2-E7E69C112CF2}"/>
    <hyperlink ref="D75" r:id="rId10" xr:uid="{AB0091EB-57E4-4652-BF57-D12E01B13CB5}"/>
    <hyperlink ref="D76" r:id="rId11" xr:uid="{BCFF5FAD-B1A6-45FD-8DEE-196269E45950}"/>
    <hyperlink ref="D82" r:id="rId12" display="https://www.geeksforgeeks.org/html-input-required-attribute/_x000a_" xr:uid="{73EE558C-18B7-43EA-8384-41F7923851AA}"/>
    <hyperlink ref="D87" r:id="rId13" display="https://developer.mozilla.org/fr/docs/Web/CSS/CSS_Grid_Layout_x000a_" xr:uid="{D3B9CB14-9A8A-49EA-B4F7-2674F66FE349}"/>
    <hyperlink ref="D119" r:id="rId14" display="https://sql.sh/cours/jointures/left-join" xr:uid="{39D818C5-70C6-463A-B4A3-3EEB87C8132B}"/>
  </hyperlinks>
  <pageMargins left="0.23622047244094488" right="0.23622047244094488" top="0.74803149606299213" bottom="0.74803149606299213" header="0.31496062992125984" footer="0.31496062992125984"/>
  <pageSetup paperSize="9" scale="19" fitToWidth="0" orientation="portrait" r:id="rId15"/>
  <drawing r:id="rId16"/>
  <legacyDrawing r:id="rId17"/>
  <controls>
    <mc:AlternateContent xmlns:mc="http://schemas.openxmlformats.org/markup-compatibility/2006">
      <mc:Choice Requires="x14">
        <control shapeId="40961" r:id="rId18" name="btnImportRealisation">
          <controlPr defaultSize="0" autoLine="0" r:id="rId19">
            <anchor moveWithCells="1">
              <from>
                <xdr:col>4</xdr:col>
                <xdr:colOff>590550</xdr:colOff>
                <xdr:row>0</xdr:row>
                <xdr:rowOff>180975</xdr:rowOff>
              </from>
              <to>
                <xdr:col>7</xdr:col>
                <xdr:colOff>257175</xdr:colOff>
                <xdr:row>2</xdr:row>
                <xdr:rowOff>152400</xdr:rowOff>
              </to>
            </anchor>
          </controlPr>
        </control>
      </mc:Choice>
      <mc:Fallback>
        <control shapeId="40961" r:id="rId18" name="btnImportRealisati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workbookViewId="0"/>
  </sheetViews>
  <sheetFormatPr baseColWidth="10" defaultColWidth="11.42578125" defaultRowHeight="13.5" x14ac:dyDescent="0.25"/>
  <cols>
    <col min="1" max="1" width="21.42578125" style="20" customWidth="1"/>
    <col min="2" max="2" width="8.5703125" style="20" customWidth="1"/>
    <col min="3" max="3" width="87" style="188" customWidth="1"/>
    <col min="4" max="4" width="44.140625" style="20" customWidth="1"/>
    <col min="5" max="16384" width="11.42578125" style="20"/>
  </cols>
  <sheetData>
    <row r="1" spans="1:4" ht="18.75" thickBot="1" x14ac:dyDescent="0.3">
      <c r="A1" s="6" t="s">
        <v>13</v>
      </c>
      <c r="B1" s="7">
        <v>1</v>
      </c>
      <c r="C1" s="178"/>
      <c r="D1" s="84"/>
    </row>
    <row r="2" spans="1:4" ht="27.75" thickBot="1" x14ac:dyDescent="0.3">
      <c r="A2" s="8" t="s">
        <v>2</v>
      </c>
      <c r="B2" s="18" t="s">
        <v>14</v>
      </c>
      <c r="C2" s="179" t="s">
        <v>6</v>
      </c>
      <c r="D2" s="8" t="s">
        <v>12</v>
      </c>
    </row>
    <row r="3" spans="1:4" s="52" customFormat="1" x14ac:dyDescent="0.25">
      <c r="A3" s="5"/>
      <c r="B3" s="4"/>
      <c r="C3" s="180" t="s">
        <v>30</v>
      </c>
      <c r="D3" s="9"/>
    </row>
    <row r="4" spans="1:4" s="52" customFormat="1" x14ac:dyDescent="0.25">
      <c r="A4" s="1" t="s">
        <v>20</v>
      </c>
      <c r="B4" s="2">
        <v>12</v>
      </c>
      <c r="C4" s="181" t="s">
        <v>35</v>
      </c>
      <c r="D4" s="88"/>
    </row>
    <row r="5" spans="1:4" s="52" customFormat="1" x14ac:dyDescent="0.25">
      <c r="A5" s="1" t="s">
        <v>20</v>
      </c>
      <c r="B5" s="2">
        <v>1</v>
      </c>
      <c r="C5" s="181" t="s">
        <v>36</v>
      </c>
      <c r="D5" s="88"/>
    </row>
    <row r="6" spans="1:4" s="52" customFormat="1" x14ac:dyDescent="0.25">
      <c r="A6" s="1" t="s">
        <v>20</v>
      </c>
      <c r="B6" s="2">
        <v>1</v>
      </c>
      <c r="C6" s="181" t="s">
        <v>37</v>
      </c>
      <c r="D6" s="88"/>
    </row>
    <row r="7" spans="1:4" s="52" customFormat="1" ht="27" x14ac:dyDescent="0.25">
      <c r="A7" s="1" t="s">
        <v>43</v>
      </c>
      <c r="B7" s="2">
        <v>1</v>
      </c>
      <c r="C7" s="181" t="s">
        <v>38</v>
      </c>
      <c r="D7" s="88"/>
    </row>
    <row r="8" spans="1:4" s="52" customFormat="1" ht="27" x14ac:dyDescent="0.25">
      <c r="A8" s="1" t="s">
        <v>43</v>
      </c>
      <c r="B8" s="2">
        <v>3</v>
      </c>
      <c r="C8" s="181" t="s">
        <v>40</v>
      </c>
      <c r="D8" s="88"/>
    </row>
    <row r="9" spans="1:4" s="52" customFormat="1" x14ac:dyDescent="0.25">
      <c r="A9" s="1" t="s">
        <v>42</v>
      </c>
      <c r="B9" s="2">
        <v>1</v>
      </c>
      <c r="C9" s="181" t="s">
        <v>39</v>
      </c>
      <c r="D9" s="10"/>
    </row>
    <row r="10" spans="1:4" s="52" customFormat="1" ht="40.5" x14ac:dyDescent="0.25">
      <c r="A10" s="1" t="s">
        <v>47</v>
      </c>
      <c r="B10" s="2">
        <v>5</v>
      </c>
      <c r="C10" s="181" t="s">
        <v>41</v>
      </c>
      <c r="D10" s="10"/>
    </row>
    <row r="11" spans="1:4" s="52" customFormat="1" x14ac:dyDescent="0.25">
      <c r="A11" s="1"/>
      <c r="B11" s="2"/>
      <c r="C11" s="182" t="s">
        <v>31</v>
      </c>
      <c r="D11" s="10"/>
    </row>
    <row r="12" spans="1:4" s="52" customFormat="1" x14ac:dyDescent="0.25">
      <c r="A12" s="1" t="s">
        <v>49</v>
      </c>
      <c r="B12" s="2">
        <v>1</v>
      </c>
      <c r="C12" s="183" t="s">
        <v>51</v>
      </c>
      <c r="D12" s="10"/>
    </row>
    <row r="13" spans="1:4" s="52" customFormat="1" x14ac:dyDescent="0.25">
      <c r="A13" s="1" t="s">
        <v>49</v>
      </c>
      <c r="B13" s="2">
        <v>3</v>
      </c>
      <c r="C13" s="181" t="s">
        <v>50</v>
      </c>
      <c r="D13" s="10"/>
    </row>
    <row r="14" spans="1:4" s="52" customFormat="1" ht="40.5" x14ac:dyDescent="0.25">
      <c r="A14" s="1" t="s">
        <v>47</v>
      </c>
      <c r="B14" s="2">
        <v>17</v>
      </c>
      <c r="C14" s="181" t="s">
        <v>74</v>
      </c>
      <c r="D14" s="10"/>
    </row>
    <row r="15" spans="1:4" s="52" customFormat="1" ht="40.5" x14ac:dyDescent="0.25">
      <c r="A15" s="1" t="s">
        <v>44</v>
      </c>
      <c r="B15" s="2">
        <v>2</v>
      </c>
      <c r="C15" s="181" t="s">
        <v>72</v>
      </c>
      <c r="D15" s="10"/>
    </row>
    <row r="16" spans="1:4" s="52" customFormat="1" x14ac:dyDescent="0.25">
      <c r="A16" s="1" t="s">
        <v>90</v>
      </c>
      <c r="B16" s="2">
        <v>4</v>
      </c>
      <c r="C16" s="181" t="s">
        <v>73</v>
      </c>
      <c r="D16" s="10"/>
    </row>
    <row r="17" spans="1:4" s="52" customFormat="1" x14ac:dyDescent="0.25">
      <c r="A17" s="1"/>
      <c r="B17" s="2"/>
      <c r="C17" s="182" t="s">
        <v>32</v>
      </c>
      <c r="D17" s="10"/>
    </row>
    <row r="18" spans="1:4" s="52" customFormat="1" x14ac:dyDescent="0.25">
      <c r="A18" s="1" t="s">
        <v>42</v>
      </c>
      <c r="B18" s="2">
        <v>1</v>
      </c>
      <c r="C18" s="181" t="s">
        <v>71</v>
      </c>
      <c r="D18" s="10"/>
    </row>
    <row r="19" spans="1:4" s="52" customFormat="1" ht="40.5" x14ac:dyDescent="0.25">
      <c r="A19" s="1" t="s">
        <v>47</v>
      </c>
      <c r="B19" s="2">
        <v>11</v>
      </c>
      <c r="C19" s="181" t="s">
        <v>74</v>
      </c>
      <c r="D19" s="10"/>
    </row>
    <row r="20" spans="1:4" s="52" customFormat="1" x14ac:dyDescent="0.25">
      <c r="A20" s="1"/>
      <c r="B20" s="2"/>
      <c r="C20" s="182" t="s">
        <v>33</v>
      </c>
      <c r="D20" s="10"/>
    </row>
    <row r="21" spans="1:4" s="52" customFormat="1" x14ac:dyDescent="0.25">
      <c r="A21" s="1" t="s">
        <v>42</v>
      </c>
      <c r="B21" s="2">
        <v>1</v>
      </c>
      <c r="C21" s="181" t="s">
        <v>71</v>
      </c>
      <c r="D21" s="10"/>
    </row>
    <row r="22" spans="1:4" s="52" customFormat="1" ht="40.5" x14ac:dyDescent="0.25">
      <c r="A22" s="2" t="s">
        <v>47</v>
      </c>
      <c r="B22" s="2">
        <v>23</v>
      </c>
      <c r="C22" s="181" t="s">
        <v>74</v>
      </c>
      <c r="D22" s="10"/>
    </row>
    <row r="23" spans="1:4" s="52" customFormat="1" ht="27.75" thickBot="1" x14ac:dyDescent="0.3">
      <c r="A23" s="2" t="s">
        <v>43</v>
      </c>
      <c r="B23" s="2">
        <v>3</v>
      </c>
      <c r="C23" s="181" t="s">
        <v>75</v>
      </c>
      <c r="D23" s="10"/>
    </row>
    <row r="24" spans="1:4" ht="14.25" thickBot="1" x14ac:dyDescent="0.3">
      <c r="A24" s="12" t="s">
        <v>21</v>
      </c>
      <c r="B24" s="12">
        <f>SUM(B3:B23)</f>
        <v>90</v>
      </c>
      <c r="C24" s="184" t="s">
        <v>28</v>
      </c>
      <c r="D24" s="13"/>
    </row>
    <row r="25" spans="1:4" ht="15" thickBot="1" x14ac:dyDescent="0.35">
      <c r="A25" s="14"/>
      <c r="B25" s="14"/>
      <c r="C25" s="185"/>
      <c r="D25" s="14"/>
    </row>
    <row r="26" spans="1:4" ht="18.75" thickBot="1" x14ac:dyDescent="0.3">
      <c r="A26" s="6" t="s">
        <v>13</v>
      </c>
      <c r="B26" s="7">
        <v>2</v>
      </c>
      <c r="C26" s="178"/>
      <c r="D26" s="84"/>
    </row>
    <row r="27" spans="1:4" ht="27.75" thickBot="1" x14ac:dyDescent="0.3">
      <c r="A27" s="8" t="s">
        <v>2</v>
      </c>
      <c r="B27" s="18" t="s">
        <v>14</v>
      </c>
      <c r="C27" s="179" t="s">
        <v>6</v>
      </c>
      <c r="D27" s="8" t="s">
        <v>12</v>
      </c>
    </row>
    <row r="28" spans="1:4" x14ac:dyDescent="0.25">
      <c r="A28" s="5"/>
      <c r="B28" s="4"/>
      <c r="C28" s="180" t="s">
        <v>30</v>
      </c>
      <c r="D28" s="9"/>
    </row>
    <row r="29" spans="1:4" ht="40.5" x14ac:dyDescent="0.25">
      <c r="A29" s="172" t="s">
        <v>44</v>
      </c>
      <c r="B29" s="173">
        <v>6</v>
      </c>
      <c r="C29" s="186" t="s">
        <v>106</v>
      </c>
      <c r="D29" s="88"/>
    </row>
    <row r="30" spans="1:4" x14ac:dyDescent="0.25">
      <c r="A30" s="172" t="s">
        <v>42</v>
      </c>
      <c r="B30" s="173">
        <v>2</v>
      </c>
      <c r="C30" s="181" t="s">
        <v>71</v>
      </c>
      <c r="D30" s="88"/>
    </row>
    <row r="31" spans="1:4" x14ac:dyDescent="0.25">
      <c r="A31" s="172" t="s">
        <v>90</v>
      </c>
      <c r="B31" s="173">
        <v>6</v>
      </c>
      <c r="C31" s="183" t="s">
        <v>85</v>
      </c>
      <c r="D31" s="88"/>
    </row>
    <row r="32" spans="1:4" ht="40.5" x14ac:dyDescent="0.25">
      <c r="A32" s="1" t="s">
        <v>93</v>
      </c>
      <c r="B32" s="2">
        <v>4</v>
      </c>
      <c r="C32" s="183" t="s">
        <v>107</v>
      </c>
      <c r="D32" s="10"/>
    </row>
    <row r="33" spans="1:8" ht="27" x14ac:dyDescent="0.25">
      <c r="A33" s="1" t="s">
        <v>97</v>
      </c>
      <c r="B33" s="2">
        <v>6</v>
      </c>
      <c r="C33" s="183" t="s">
        <v>108</v>
      </c>
      <c r="D33" s="10"/>
    </row>
    <row r="34" spans="1:8" ht="12.75" customHeight="1" x14ac:dyDescent="0.25">
      <c r="A34" s="1"/>
      <c r="B34" s="2"/>
      <c r="C34" s="182" t="s">
        <v>31</v>
      </c>
      <c r="D34" s="10"/>
      <c r="F34" s="31"/>
      <c r="G34" s="32"/>
      <c r="H34" s="33"/>
    </row>
    <row r="35" spans="1:8" ht="15" x14ac:dyDescent="0.25">
      <c r="A35" s="172" t="s">
        <v>42</v>
      </c>
      <c r="B35" s="173">
        <v>2</v>
      </c>
      <c r="C35" s="181" t="s">
        <v>71</v>
      </c>
      <c r="D35" s="10"/>
      <c r="F35" s="34"/>
      <c r="G35" s="30"/>
      <c r="H35" s="30"/>
    </row>
    <row r="36" spans="1:8" ht="15" x14ac:dyDescent="0.25">
      <c r="A36" s="172" t="s">
        <v>90</v>
      </c>
      <c r="B36" s="173">
        <v>3</v>
      </c>
      <c r="C36" s="183" t="s">
        <v>85</v>
      </c>
      <c r="D36" s="10"/>
      <c r="F36" s="34"/>
      <c r="G36" s="30"/>
      <c r="H36" s="30"/>
    </row>
    <row r="37" spans="1:8" ht="27" x14ac:dyDescent="0.25">
      <c r="A37" s="172" t="s">
        <v>97</v>
      </c>
      <c r="B37" s="173">
        <v>3</v>
      </c>
      <c r="C37" s="183" t="s">
        <v>109</v>
      </c>
      <c r="D37" s="10"/>
      <c r="F37" s="34"/>
      <c r="G37" s="30"/>
      <c r="H37" s="30"/>
    </row>
    <row r="38" spans="1:8" ht="15" x14ac:dyDescent="0.25">
      <c r="A38" s="172" t="s">
        <v>49</v>
      </c>
      <c r="B38" s="173">
        <v>2</v>
      </c>
      <c r="C38" s="183" t="s">
        <v>110</v>
      </c>
      <c r="D38" s="10"/>
      <c r="F38" s="34"/>
      <c r="G38" s="30"/>
      <c r="H38" s="30"/>
    </row>
    <row r="39" spans="1:8" ht="40.5" x14ac:dyDescent="0.25">
      <c r="A39" s="172" t="s">
        <v>103</v>
      </c>
      <c r="B39" s="173">
        <v>17</v>
      </c>
      <c r="C39" s="183" t="s">
        <v>111</v>
      </c>
      <c r="D39" s="10"/>
      <c r="F39" s="34"/>
      <c r="G39" s="30"/>
      <c r="H39" s="30"/>
    </row>
    <row r="40" spans="1:8" x14ac:dyDescent="0.25">
      <c r="A40" s="2"/>
      <c r="B40" s="2"/>
      <c r="C40" s="182" t="s">
        <v>32</v>
      </c>
      <c r="D40" s="10"/>
      <c r="F40" s="36"/>
      <c r="G40" s="37"/>
      <c r="H40" s="37"/>
    </row>
    <row r="41" spans="1:8" x14ac:dyDescent="0.25">
      <c r="A41" s="172" t="s">
        <v>42</v>
      </c>
      <c r="B41" s="173">
        <v>2</v>
      </c>
      <c r="C41" s="181" t="s">
        <v>71</v>
      </c>
      <c r="D41" s="10"/>
      <c r="F41" s="36"/>
      <c r="G41" s="37"/>
      <c r="H41" s="37"/>
    </row>
    <row r="42" spans="1:8" x14ac:dyDescent="0.25">
      <c r="A42" s="172" t="s">
        <v>90</v>
      </c>
      <c r="B42" s="173">
        <v>3</v>
      </c>
      <c r="C42" s="183" t="s">
        <v>85</v>
      </c>
      <c r="D42" s="10"/>
      <c r="F42" s="36"/>
      <c r="G42" s="37"/>
      <c r="H42" s="37"/>
    </row>
    <row r="43" spans="1:8" ht="40.5" x14ac:dyDescent="0.25">
      <c r="A43" s="177" t="s">
        <v>103</v>
      </c>
      <c r="B43" s="169">
        <v>4</v>
      </c>
      <c r="C43" s="183" t="s">
        <v>112</v>
      </c>
      <c r="D43" s="51"/>
      <c r="F43" s="36"/>
      <c r="G43" s="37"/>
      <c r="H43" s="37"/>
    </row>
    <row r="44" spans="1:8" ht="27" x14ac:dyDescent="0.25">
      <c r="A44" s="177" t="s">
        <v>94</v>
      </c>
      <c r="B44" s="169">
        <v>3</v>
      </c>
      <c r="C44" s="183" t="s">
        <v>117</v>
      </c>
      <c r="D44" s="51"/>
      <c r="F44" s="36"/>
      <c r="G44" s="37"/>
      <c r="H44" s="37"/>
    </row>
    <row r="45" spans="1:8" x14ac:dyDescent="0.25">
      <c r="A45" s="50"/>
      <c r="B45" s="50"/>
      <c r="C45" s="182" t="s">
        <v>33</v>
      </c>
      <c r="D45" s="51"/>
      <c r="F45" s="36"/>
      <c r="G45" s="37"/>
      <c r="H45" s="37"/>
    </row>
    <row r="46" spans="1:8" x14ac:dyDescent="0.25">
      <c r="A46" s="172" t="s">
        <v>42</v>
      </c>
      <c r="B46" s="173">
        <v>2</v>
      </c>
      <c r="C46" s="181" t="s">
        <v>71</v>
      </c>
      <c r="D46" s="51"/>
      <c r="F46" s="36"/>
      <c r="G46" s="37"/>
      <c r="H46" s="37"/>
    </row>
    <row r="47" spans="1:8" ht="14.25" thickBot="1" x14ac:dyDescent="0.3">
      <c r="A47" s="172" t="s">
        <v>90</v>
      </c>
      <c r="B47" s="173">
        <v>3</v>
      </c>
      <c r="C47" s="183" t="s">
        <v>85</v>
      </c>
      <c r="D47" s="11"/>
      <c r="F47" s="36"/>
      <c r="G47" s="37"/>
      <c r="H47" s="37"/>
    </row>
    <row r="48" spans="1:8" ht="41.25" thickBot="1" x14ac:dyDescent="0.3">
      <c r="A48" s="177" t="s">
        <v>103</v>
      </c>
      <c r="B48" s="169">
        <v>6</v>
      </c>
      <c r="C48" s="189" t="s">
        <v>114</v>
      </c>
      <c r="D48" s="151"/>
      <c r="F48" s="36"/>
      <c r="G48" s="37"/>
      <c r="H48" s="37"/>
    </row>
    <row r="49" spans="1:8" ht="27.75" thickBot="1" x14ac:dyDescent="0.3">
      <c r="A49" s="177" t="s">
        <v>94</v>
      </c>
      <c r="B49" s="169">
        <v>8</v>
      </c>
      <c r="C49" s="183" t="s">
        <v>117</v>
      </c>
      <c r="D49" s="151"/>
      <c r="F49" s="36"/>
      <c r="G49" s="37"/>
      <c r="H49" s="37"/>
    </row>
    <row r="50" spans="1:8" ht="27.75" thickBot="1" x14ac:dyDescent="0.3">
      <c r="A50" s="177" t="s">
        <v>95</v>
      </c>
      <c r="B50" s="169">
        <v>8</v>
      </c>
      <c r="C50" s="183" t="s">
        <v>113</v>
      </c>
      <c r="D50" s="151"/>
      <c r="F50" s="36"/>
      <c r="G50" s="37"/>
      <c r="H50" s="37"/>
    </row>
    <row r="51" spans="1:8" ht="14.25" thickBot="1" x14ac:dyDescent="0.3">
      <c r="A51" s="12" t="s">
        <v>21</v>
      </c>
      <c r="B51" s="12">
        <f>SUM(B28:B50)</f>
        <v>90</v>
      </c>
      <c r="C51" s="184" t="s">
        <v>28</v>
      </c>
      <c r="D51" s="13"/>
      <c r="F51" s="36"/>
      <c r="G51" s="37"/>
      <c r="H51" s="37"/>
    </row>
    <row r="52" spans="1:8" ht="15" thickBot="1" x14ac:dyDescent="0.35">
      <c r="A52" s="14"/>
      <c r="B52" s="14"/>
      <c r="C52" s="185"/>
      <c r="D52" s="14"/>
      <c r="F52" s="36"/>
      <c r="G52" s="37"/>
      <c r="H52" s="37"/>
    </row>
    <row r="53" spans="1:8" ht="18.75" thickBot="1" x14ac:dyDescent="0.3">
      <c r="A53" s="6" t="s">
        <v>13</v>
      </c>
      <c r="B53" s="7">
        <v>3</v>
      </c>
      <c r="C53" s="178"/>
      <c r="D53" s="84"/>
      <c r="F53" s="36"/>
    </row>
    <row r="54" spans="1:8" ht="27.75" thickBot="1" x14ac:dyDescent="0.3">
      <c r="A54" s="8" t="s">
        <v>2</v>
      </c>
      <c r="B54" s="18" t="s">
        <v>14</v>
      </c>
      <c r="C54" s="179" t="s">
        <v>6</v>
      </c>
      <c r="D54" s="8" t="s">
        <v>12</v>
      </c>
      <c r="F54" s="38"/>
    </row>
    <row r="55" spans="1:8" x14ac:dyDescent="0.25">
      <c r="A55" s="5"/>
      <c r="B55" s="4"/>
      <c r="C55" s="180" t="s">
        <v>30</v>
      </c>
      <c r="D55" s="9"/>
    </row>
    <row r="56" spans="1:8" x14ac:dyDescent="0.25">
      <c r="A56" s="172" t="s">
        <v>42</v>
      </c>
      <c r="B56" s="173">
        <v>2</v>
      </c>
      <c r="C56" s="181" t="s">
        <v>71</v>
      </c>
      <c r="D56" s="10"/>
    </row>
    <row r="57" spans="1:8" x14ac:dyDescent="0.25">
      <c r="A57" s="172" t="s">
        <v>90</v>
      </c>
      <c r="B57" s="173">
        <v>3</v>
      </c>
      <c r="C57" s="183" t="s">
        <v>85</v>
      </c>
      <c r="D57" s="10"/>
    </row>
    <row r="58" spans="1:8" ht="27" x14ac:dyDescent="0.25">
      <c r="A58" s="177" t="s">
        <v>100</v>
      </c>
      <c r="B58" s="169">
        <v>12</v>
      </c>
      <c r="C58" s="189" t="s">
        <v>115</v>
      </c>
      <c r="D58" s="10"/>
    </row>
    <row r="59" spans="1:8" ht="27" x14ac:dyDescent="0.25">
      <c r="A59" s="177" t="s">
        <v>96</v>
      </c>
      <c r="B59" s="169">
        <v>7</v>
      </c>
      <c r="C59" s="189" t="s">
        <v>116</v>
      </c>
      <c r="D59" s="10"/>
    </row>
    <row r="60" spans="1:8" ht="12.75" customHeight="1" x14ac:dyDescent="0.25">
      <c r="A60" s="1"/>
      <c r="B60" s="2"/>
      <c r="C60" s="182" t="s">
        <v>31</v>
      </c>
      <c r="D60" s="10"/>
      <c r="F60" s="31"/>
      <c r="G60" s="32"/>
      <c r="H60" s="33"/>
    </row>
    <row r="61" spans="1:8" ht="15" x14ac:dyDescent="0.25">
      <c r="A61" s="172" t="s">
        <v>42</v>
      </c>
      <c r="B61" s="173">
        <v>2</v>
      </c>
      <c r="C61" s="181" t="s">
        <v>71</v>
      </c>
      <c r="D61" s="10"/>
      <c r="F61" s="34"/>
      <c r="G61" s="30"/>
      <c r="H61" s="30"/>
    </row>
    <row r="62" spans="1:8" ht="15" x14ac:dyDescent="0.25">
      <c r="A62" s="172" t="s">
        <v>90</v>
      </c>
      <c r="B62" s="173">
        <v>3</v>
      </c>
      <c r="C62" s="183" t="s">
        <v>85</v>
      </c>
      <c r="D62" s="10"/>
      <c r="F62" s="34"/>
      <c r="G62" s="30"/>
      <c r="H62" s="30"/>
    </row>
    <row r="63" spans="1:8" ht="27" x14ac:dyDescent="0.25">
      <c r="A63" s="172" t="s">
        <v>96</v>
      </c>
      <c r="B63" s="173">
        <v>17</v>
      </c>
      <c r="C63" s="189" t="s">
        <v>116</v>
      </c>
      <c r="D63" s="10"/>
      <c r="F63" s="34"/>
      <c r="G63" s="30"/>
      <c r="H63" s="30"/>
    </row>
    <row r="64" spans="1:8" ht="54" x14ac:dyDescent="0.25">
      <c r="A64" s="172" t="s">
        <v>98</v>
      </c>
      <c r="B64" s="173">
        <v>5</v>
      </c>
      <c r="C64" s="183" t="s">
        <v>118</v>
      </c>
      <c r="D64" s="10"/>
      <c r="F64" s="34"/>
      <c r="G64" s="30"/>
      <c r="H64" s="30"/>
    </row>
    <row r="65" spans="1:8" x14ac:dyDescent="0.25">
      <c r="A65" s="2"/>
      <c r="B65" s="2"/>
      <c r="C65" s="182" t="s">
        <v>32</v>
      </c>
      <c r="D65" s="10"/>
      <c r="F65" s="36"/>
      <c r="G65" s="37"/>
      <c r="H65" s="37"/>
    </row>
    <row r="66" spans="1:8" x14ac:dyDescent="0.25">
      <c r="A66" s="172" t="s">
        <v>42</v>
      </c>
      <c r="B66" s="173">
        <v>2</v>
      </c>
      <c r="C66" s="181" t="s">
        <v>71</v>
      </c>
      <c r="D66" s="10"/>
      <c r="F66" s="36"/>
      <c r="G66" s="37"/>
      <c r="H66" s="37"/>
    </row>
    <row r="67" spans="1:8" x14ac:dyDescent="0.25">
      <c r="A67" s="172" t="s">
        <v>90</v>
      </c>
      <c r="B67" s="173">
        <v>3</v>
      </c>
      <c r="C67" s="183" t="s">
        <v>85</v>
      </c>
      <c r="D67" s="10"/>
      <c r="F67" s="36"/>
      <c r="G67" s="37"/>
      <c r="H67" s="37"/>
    </row>
    <row r="68" spans="1:8" ht="54" x14ac:dyDescent="0.25">
      <c r="A68" s="172" t="s">
        <v>98</v>
      </c>
      <c r="B68" s="173">
        <v>7</v>
      </c>
      <c r="C68" s="183" t="s">
        <v>118</v>
      </c>
      <c r="D68" s="51"/>
      <c r="F68" s="36"/>
      <c r="G68" s="37"/>
      <c r="H68" s="37"/>
    </row>
    <row r="69" spans="1:8" x14ac:dyDescent="0.25">
      <c r="A69" s="50"/>
      <c r="B69" s="50"/>
      <c r="C69" s="182" t="s">
        <v>33</v>
      </c>
      <c r="D69" s="51"/>
      <c r="F69" s="36"/>
      <c r="G69" s="37"/>
      <c r="H69" s="37"/>
    </row>
    <row r="70" spans="1:8" x14ac:dyDescent="0.25">
      <c r="A70" s="172" t="s">
        <v>42</v>
      </c>
      <c r="B70" s="173">
        <v>2</v>
      </c>
      <c r="C70" s="181" t="s">
        <v>71</v>
      </c>
      <c r="D70" s="51"/>
      <c r="F70" s="36"/>
      <c r="G70" s="37"/>
      <c r="H70" s="37"/>
    </row>
    <row r="71" spans="1:8" x14ac:dyDescent="0.25">
      <c r="A71" s="172" t="s">
        <v>90</v>
      </c>
      <c r="B71" s="173">
        <v>3</v>
      </c>
      <c r="C71" s="183" t="s">
        <v>85</v>
      </c>
      <c r="D71" s="171"/>
      <c r="F71" s="36"/>
      <c r="G71" s="37"/>
      <c r="H71" s="37"/>
    </row>
    <row r="72" spans="1:8" ht="40.5" x14ac:dyDescent="0.25">
      <c r="A72" s="177" t="s">
        <v>99</v>
      </c>
      <c r="B72" s="169">
        <v>12</v>
      </c>
      <c r="C72" s="189" t="s">
        <v>119</v>
      </c>
      <c r="D72" s="171"/>
      <c r="F72" s="36"/>
      <c r="G72" s="37"/>
      <c r="H72" s="37"/>
    </row>
    <row r="73" spans="1:8" ht="41.25" thickBot="1" x14ac:dyDescent="0.3">
      <c r="A73" s="177" t="s">
        <v>47</v>
      </c>
      <c r="B73" s="169">
        <v>10</v>
      </c>
      <c r="C73" s="189" t="s">
        <v>120</v>
      </c>
      <c r="D73" s="171"/>
      <c r="F73" s="36"/>
      <c r="G73" s="37"/>
      <c r="H73" s="37"/>
    </row>
    <row r="74" spans="1:8" ht="14.25" thickBot="1" x14ac:dyDescent="0.3">
      <c r="A74" s="12" t="s">
        <v>21</v>
      </c>
      <c r="B74" s="12">
        <f>SUM(B55:B73)</f>
        <v>90</v>
      </c>
      <c r="C74" s="184" t="s">
        <v>28</v>
      </c>
      <c r="D74" s="13"/>
    </row>
    <row r="75" spans="1:8" ht="15" thickBot="1" x14ac:dyDescent="0.35">
      <c r="A75" s="14"/>
      <c r="B75" s="14"/>
      <c r="C75" s="185"/>
      <c r="D75" s="14"/>
    </row>
    <row r="76" spans="1:8" ht="18.75" thickBot="1" x14ac:dyDescent="0.3">
      <c r="A76" s="6" t="s">
        <v>13</v>
      </c>
      <c r="B76" s="7">
        <v>4</v>
      </c>
      <c r="C76" s="178"/>
      <c r="D76" s="84"/>
    </row>
    <row r="77" spans="1:8" ht="27.75" thickBot="1" x14ac:dyDescent="0.3">
      <c r="A77" s="8" t="s">
        <v>2</v>
      </c>
      <c r="B77" s="18" t="s">
        <v>14</v>
      </c>
      <c r="C77" s="179" t="s">
        <v>6</v>
      </c>
      <c r="D77" s="8" t="s">
        <v>12</v>
      </c>
    </row>
    <row r="78" spans="1:8" ht="14.25" thickBot="1" x14ac:dyDescent="0.3">
      <c r="A78" s="5" t="s">
        <v>20</v>
      </c>
      <c r="B78" s="4">
        <v>90</v>
      </c>
      <c r="C78" s="187" t="s">
        <v>34</v>
      </c>
      <c r="D78" s="9"/>
    </row>
    <row r="79" spans="1:8" ht="14.25" thickBot="1" x14ac:dyDescent="0.3">
      <c r="A79" s="12" t="s">
        <v>21</v>
      </c>
      <c r="B79" s="12">
        <f>SUM(B78:B78)</f>
        <v>90</v>
      </c>
      <c r="C79" s="184" t="s">
        <v>28</v>
      </c>
      <c r="D79" s="13"/>
    </row>
    <row r="80" spans="1:8" ht="15" thickBot="1" x14ac:dyDescent="0.35">
      <c r="A80" s="14"/>
      <c r="B80" s="14"/>
      <c r="C80" s="185"/>
      <c r="D80" s="14"/>
    </row>
    <row r="81" spans="1:8" ht="18.75" thickBot="1" x14ac:dyDescent="0.3">
      <c r="A81" s="6" t="s">
        <v>13</v>
      </c>
      <c r="B81" s="7">
        <v>5</v>
      </c>
      <c r="C81" s="178"/>
      <c r="D81" s="84"/>
    </row>
    <row r="82" spans="1:8" ht="27.75" thickBot="1" x14ac:dyDescent="0.3">
      <c r="A82" s="8" t="s">
        <v>2</v>
      </c>
      <c r="B82" s="18" t="s">
        <v>14</v>
      </c>
      <c r="C82" s="179" t="s">
        <v>6</v>
      </c>
      <c r="D82" s="8" t="s">
        <v>12</v>
      </c>
    </row>
    <row r="83" spans="1:8" x14ac:dyDescent="0.25">
      <c r="A83" s="5"/>
      <c r="B83" s="4"/>
      <c r="C83" s="180" t="s">
        <v>30</v>
      </c>
      <c r="D83" s="9"/>
    </row>
    <row r="84" spans="1:8" x14ac:dyDescent="0.25">
      <c r="A84" s="1" t="s">
        <v>42</v>
      </c>
      <c r="B84" s="2">
        <v>2</v>
      </c>
      <c r="C84" s="181" t="s">
        <v>71</v>
      </c>
      <c r="D84" s="88"/>
    </row>
    <row r="85" spans="1:8" x14ac:dyDescent="0.25">
      <c r="A85" s="172" t="s">
        <v>90</v>
      </c>
      <c r="B85" s="173">
        <v>3</v>
      </c>
      <c r="C85" s="183" t="s">
        <v>85</v>
      </c>
      <c r="D85" s="88"/>
    </row>
    <row r="86" spans="1:8" ht="40.5" x14ac:dyDescent="0.25">
      <c r="A86" s="1" t="s">
        <v>47</v>
      </c>
      <c r="B86" s="190">
        <v>4</v>
      </c>
      <c r="C86" s="189" t="s">
        <v>120</v>
      </c>
      <c r="D86" s="10"/>
    </row>
    <row r="87" spans="1:8" ht="27" x14ac:dyDescent="0.25">
      <c r="A87" s="1" t="s">
        <v>48</v>
      </c>
      <c r="B87" s="2">
        <v>8</v>
      </c>
      <c r="C87" s="183" t="s">
        <v>121</v>
      </c>
      <c r="D87" s="10"/>
    </row>
    <row r="88" spans="1:8" ht="27" x14ac:dyDescent="0.25">
      <c r="A88" s="1" t="s">
        <v>91</v>
      </c>
      <c r="B88" s="2">
        <v>7</v>
      </c>
      <c r="C88" s="183" t="s">
        <v>124</v>
      </c>
      <c r="D88" s="10"/>
    </row>
    <row r="89" spans="1:8" ht="12.75" customHeight="1" x14ac:dyDescent="0.25">
      <c r="A89" s="1"/>
      <c r="B89" s="2"/>
      <c r="C89" s="182" t="s">
        <v>31</v>
      </c>
      <c r="D89" s="10"/>
      <c r="F89" s="31"/>
      <c r="G89" s="32"/>
      <c r="H89" s="33"/>
    </row>
    <row r="90" spans="1:8" ht="15" x14ac:dyDescent="0.25">
      <c r="A90" s="172" t="s">
        <v>42</v>
      </c>
      <c r="B90" s="173">
        <v>2</v>
      </c>
      <c r="C90" s="181" t="s">
        <v>71</v>
      </c>
      <c r="D90" s="10"/>
      <c r="F90" s="34"/>
      <c r="G90" s="30"/>
      <c r="H90" s="30"/>
    </row>
    <row r="91" spans="1:8" ht="15" x14ac:dyDescent="0.25">
      <c r="A91" s="172" t="s">
        <v>90</v>
      </c>
      <c r="B91" s="173">
        <v>3</v>
      </c>
      <c r="C91" s="183" t="s">
        <v>85</v>
      </c>
      <c r="D91" s="10"/>
      <c r="F91" s="34"/>
      <c r="G91" s="30"/>
      <c r="H91" s="30"/>
    </row>
    <row r="92" spans="1:8" ht="27" x14ac:dyDescent="0.25">
      <c r="A92" s="172" t="s">
        <v>91</v>
      </c>
      <c r="B92" s="173">
        <v>11</v>
      </c>
      <c r="C92" s="183" t="s">
        <v>124</v>
      </c>
      <c r="D92" s="10"/>
      <c r="F92" s="34"/>
      <c r="G92" s="30"/>
      <c r="H92" s="30"/>
    </row>
    <row r="93" spans="1:8" x14ac:dyDescent="0.25">
      <c r="A93" s="1" t="s">
        <v>49</v>
      </c>
      <c r="B93" s="2">
        <v>11</v>
      </c>
      <c r="C93" s="183" t="s">
        <v>122</v>
      </c>
      <c r="D93" s="10"/>
      <c r="F93" s="36"/>
      <c r="G93" s="37"/>
      <c r="H93" s="37"/>
    </row>
    <row r="94" spans="1:8" x14ac:dyDescent="0.25">
      <c r="A94" s="2"/>
      <c r="B94" s="2"/>
      <c r="C94" s="182" t="s">
        <v>32</v>
      </c>
      <c r="D94" s="10"/>
      <c r="F94" s="36"/>
      <c r="G94" s="37"/>
      <c r="H94" s="37"/>
    </row>
    <row r="95" spans="1:8" x14ac:dyDescent="0.25">
      <c r="A95" s="172" t="s">
        <v>42</v>
      </c>
      <c r="B95" s="173">
        <v>2</v>
      </c>
      <c r="C95" s="181" t="s">
        <v>71</v>
      </c>
      <c r="D95" s="10"/>
      <c r="F95" s="36"/>
      <c r="G95" s="37"/>
      <c r="H95" s="37"/>
    </row>
    <row r="96" spans="1:8" x14ac:dyDescent="0.25">
      <c r="A96" s="172" t="s">
        <v>90</v>
      </c>
      <c r="B96" s="173">
        <v>3</v>
      </c>
      <c r="C96" s="183" t="s">
        <v>85</v>
      </c>
      <c r="D96" s="10"/>
      <c r="F96" s="36"/>
      <c r="G96" s="37"/>
      <c r="H96" s="37"/>
    </row>
    <row r="97" spans="1:8" x14ac:dyDescent="0.25">
      <c r="A97" s="1" t="s">
        <v>49</v>
      </c>
      <c r="B97" s="2">
        <v>7</v>
      </c>
      <c r="C97" s="183" t="s">
        <v>122</v>
      </c>
      <c r="D97" s="51"/>
      <c r="F97" s="36"/>
      <c r="G97" s="37"/>
      <c r="H97" s="37"/>
    </row>
    <row r="98" spans="1:8" x14ac:dyDescent="0.25">
      <c r="A98" s="50"/>
      <c r="B98" s="50"/>
      <c r="C98" s="182" t="s">
        <v>33</v>
      </c>
      <c r="D98" s="51"/>
      <c r="F98" s="36"/>
      <c r="G98" s="37"/>
      <c r="H98" s="37"/>
    </row>
    <row r="99" spans="1:8" x14ac:dyDescent="0.25">
      <c r="A99" s="172" t="s">
        <v>42</v>
      </c>
      <c r="B99" s="173">
        <v>2</v>
      </c>
      <c r="C99" s="181" t="s">
        <v>71</v>
      </c>
      <c r="D99" s="51"/>
      <c r="F99" s="36"/>
      <c r="G99" s="37"/>
      <c r="H99" s="37"/>
    </row>
    <row r="100" spans="1:8" x14ac:dyDescent="0.25">
      <c r="A100" s="172" t="s">
        <v>90</v>
      </c>
      <c r="B100" s="173">
        <v>3</v>
      </c>
      <c r="C100" s="183" t="s">
        <v>85</v>
      </c>
      <c r="D100" s="171"/>
      <c r="F100" s="36"/>
      <c r="G100" s="37"/>
      <c r="H100" s="37"/>
    </row>
    <row r="101" spans="1:8" ht="14.25" thickBot="1" x14ac:dyDescent="0.3">
      <c r="A101" s="1" t="s">
        <v>49</v>
      </c>
      <c r="B101" s="2">
        <v>22</v>
      </c>
      <c r="C101" s="183" t="s">
        <v>122</v>
      </c>
      <c r="D101" s="171"/>
      <c r="F101" s="36"/>
      <c r="G101" s="37"/>
      <c r="H101" s="37"/>
    </row>
    <row r="102" spans="1:8" ht="14.25" thickBot="1" x14ac:dyDescent="0.3">
      <c r="A102" s="12" t="s">
        <v>21</v>
      </c>
      <c r="B102" s="12">
        <f>SUM(B83:B101)</f>
        <v>90</v>
      </c>
      <c r="C102" s="184" t="s">
        <v>28</v>
      </c>
      <c r="D102" s="13"/>
    </row>
    <row r="103" spans="1:8" ht="15" thickBot="1" x14ac:dyDescent="0.35">
      <c r="A103" s="14"/>
      <c r="B103" s="14"/>
      <c r="C103" s="185"/>
      <c r="D103" s="14"/>
    </row>
    <row r="104" spans="1:8" ht="18.75" thickBot="1" x14ac:dyDescent="0.3">
      <c r="A104" s="6" t="s">
        <v>13</v>
      </c>
      <c r="B104" s="7">
        <v>6</v>
      </c>
      <c r="C104" s="178"/>
      <c r="D104" s="84"/>
    </row>
    <row r="105" spans="1:8" ht="27.75" thickBot="1" x14ac:dyDescent="0.3">
      <c r="A105" s="8" t="s">
        <v>2</v>
      </c>
      <c r="B105" s="18" t="s">
        <v>14</v>
      </c>
      <c r="C105" s="179" t="s">
        <v>6</v>
      </c>
      <c r="D105" s="8" t="s">
        <v>12</v>
      </c>
    </row>
    <row r="106" spans="1:8" x14ac:dyDescent="0.25">
      <c r="A106" s="5"/>
      <c r="B106" s="4"/>
      <c r="C106" s="180" t="s">
        <v>30</v>
      </c>
      <c r="D106" s="9"/>
    </row>
    <row r="107" spans="1:8" x14ac:dyDescent="0.25">
      <c r="A107" s="172" t="s">
        <v>42</v>
      </c>
      <c r="B107" s="173">
        <v>2</v>
      </c>
      <c r="C107" s="181" t="s">
        <v>71</v>
      </c>
      <c r="D107" s="10"/>
    </row>
    <row r="108" spans="1:8" x14ac:dyDescent="0.25">
      <c r="A108" s="172" t="s">
        <v>90</v>
      </c>
      <c r="B108" s="173">
        <v>3</v>
      </c>
      <c r="C108" s="183" t="s">
        <v>85</v>
      </c>
      <c r="D108" s="10"/>
    </row>
    <row r="109" spans="1:8" x14ac:dyDescent="0.25">
      <c r="A109" s="172" t="s">
        <v>49</v>
      </c>
      <c r="B109" s="173">
        <v>19</v>
      </c>
      <c r="C109" s="183" t="s">
        <v>122</v>
      </c>
      <c r="D109" s="10"/>
    </row>
    <row r="110" spans="1:8" ht="12.75" customHeight="1" x14ac:dyDescent="0.25">
      <c r="A110" s="1"/>
      <c r="B110" s="2"/>
      <c r="C110" s="182" t="s">
        <v>31</v>
      </c>
      <c r="D110" s="10"/>
      <c r="F110" s="31"/>
      <c r="G110" s="32"/>
      <c r="H110" s="33"/>
    </row>
    <row r="111" spans="1:8" ht="15" x14ac:dyDescent="0.25">
      <c r="A111" s="172" t="s">
        <v>42</v>
      </c>
      <c r="B111" s="173">
        <v>2</v>
      </c>
      <c r="C111" s="181" t="s">
        <v>71</v>
      </c>
      <c r="D111" s="10"/>
      <c r="F111" s="34"/>
      <c r="G111" s="30"/>
      <c r="H111" s="30"/>
    </row>
    <row r="112" spans="1:8" ht="15" x14ac:dyDescent="0.25">
      <c r="A112" s="172" t="s">
        <v>90</v>
      </c>
      <c r="B112" s="173">
        <v>3</v>
      </c>
      <c r="C112" s="183" t="s">
        <v>85</v>
      </c>
      <c r="D112" s="10"/>
      <c r="F112" s="34"/>
      <c r="G112" s="30"/>
      <c r="H112" s="30"/>
    </row>
    <row r="113" spans="1:8" x14ac:dyDescent="0.25">
      <c r="A113" s="172" t="s">
        <v>49</v>
      </c>
      <c r="B113" s="173">
        <v>22</v>
      </c>
      <c r="C113" s="183" t="s">
        <v>122</v>
      </c>
      <c r="D113" s="10"/>
      <c r="F113" s="36"/>
      <c r="G113" s="37"/>
      <c r="H113" s="37"/>
    </row>
    <row r="114" spans="1:8" x14ac:dyDescent="0.25">
      <c r="A114" s="2"/>
      <c r="B114" s="2"/>
      <c r="C114" s="182" t="s">
        <v>32</v>
      </c>
      <c r="D114" s="10"/>
      <c r="F114" s="36"/>
      <c r="G114" s="37"/>
      <c r="H114" s="37"/>
    </row>
    <row r="115" spans="1:8" x14ac:dyDescent="0.25">
      <c r="A115" s="172" t="s">
        <v>42</v>
      </c>
      <c r="B115" s="173">
        <v>2</v>
      </c>
      <c r="C115" s="181" t="s">
        <v>71</v>
      </c>
      <c r="D115" s="10"/>
      <c r="F115" s="36"/>
      <c r="G115" s="37"/>
      <c r="H115" s="37"/>
    </row>
    <row r="116" spans="1:8" x14ac:dyDescent="0.25">
      <c r="A116" s="172" t="s">
        <v>90</v>
      </c>
      <c r="B116" s="173">
        <v>3</v>
      </c>
      <c r="C116" s="183" t="s">
        <v>85</v>
      </c>
      <c r="D116" s="10"/>
      <c r="F116" s="36"/>
      <c r="G116" s="37"/>
      <c r="H116" s="37"/>
    </row>
    <row r="117" spans="1:8" x14ac:dyDescent="0.25">
      <c r="A117" s="172" t="s">
        <v>49</v>
      </c>
      <c r="B117" s="173">
        <v>7</v>
      </c>
      <c r="C117" s="183" t="s">
        <v>122</v>
      </c>
      <c r="D117" s="51"/>
      <c r="F117" s="36"/>
      <c r="G117" s="37"/>
      <c r="H117" s="37"/>
    </row>
    <row r="118" spans="1:8" x14ac:dyDescent="0.25">
      <c r="A118" s="50"/>
      <c r="B118" s="50"/>
      <c r="C118" s="182" t="s">
        <v>33</v>
      </c>
      <c r="D118" s="51"/>
      <c r="F118" s="36"/>
      <c r="G118" s="37"/>
      <c r="H118" s="37"/>
    </row>
    <row r="119" spans="1:8" x14ac:dyDescent="0.25">
      <c r="A119" s="172" t="s">
        <v>42</v>
      </c>
      <c r="B119" s="173">
        <v>2</v>
      </c>
      <c r="C119" s="181" t="s">
        <v>71</v>
      </c>
      <c r="D119" s="51"/>
      <c r="F119" s="36"/>
      <c r="G119" s="37"/>
      <c r="H119" s="37"/>
    </row>
    <row r="120" spans="1:8" x14ac:dyDescent="0.25">
      <c r="A120" s="172" t="s">
        <v>90</v>
      </c>
      <c r="B120" s="173">
        <v>3</v>
      </c>
      <c r="C120" s="183" t="s">
        <v>85</v>
      </c>
      <c r="D120" s="171"/>
      <c r="F120" s="36"/>
      <c r="G120" s="37"/>
      <c r="H120" s="37"/>
    </row>
    <row r="121" spans="1:8" ht="14.25" thickBot="1" x14ac:dyDescent="0.3">
      <c r="A121" s="172" t="s">
        <v>49</v>
      </c>
      <c r="B121" s="173">
        <v>22</v>
      </c>
      <c r="C121" s="183" t="s">
        <v>122</v>
      </c>
      <c r="D121" s="171"/>
      <c r="F121" s="36"/>
      <c r="G121" s="37"/>
      <c r="H121" s="37"/>
    </row>
    <row r="122" spans="1:8" ht="14.25" thickBot="1" x14ac:dyDescent="0.3">
      <c r="A122" s="12" t="s">
        <v>21</v>
      </c>
      <c r="B122" s="12">
        <f>SUM(B106:B121)</f>
        <v>90</v>
      </c>
      <c r="C122" s="184" t="s">
        <v>28</v>
      </c>
      <c r="D122" s="13"/>
    </row>
    <row r="123" spans="1:8" ht="15" thickBot="1" x14ac:dyDescent="0.35">
      <c r="A123" s="14"/>
      <c r="B123" s="14"/>
      <c r="C123" s="185"/>
      <c r="D123" s="14"/>
    </row>
    <row r="124" spans="1:8" ht="18.75" thickBot="1" x14ac:dyDescent="0.3">
      <c r="A124" s="6" t="s">
        <v>13</v>
      </c>
      <c r="B124" s="7">
        <v>7</v>
      </c>
      <c r="C124" s="178"/>
      <c r="D124" s="84"/>
    </row>
    <row r="125" spans="1:8" ht="27.75" thickBot="1" x14ac:dyDescent="0.3">
      <c r="A125" s="8" t="s">
        <v>2</v>
      </c>
      <c r="B125" s="18" t="s">
        <v>14</v>
      </c>
      <c r="C125" s="179" t="s">
        <v>6</v>
      </c>
      <c r="D125" s="8" t="s">
        <v>12</v>
      </c>
    </row>
    <row r="126" spans="1:8" x14ac:dyDescent="0.25">
      <c r="A126" s="5"/>
      <c r="B126" s="4"/>
      <c r="C126" s="180" t="s">
        <v>30</v>
      </c>
      <c r="D126" s="9"/>
    </row>
    <row r="127" spans="1:8" x14ac:dyDescent="0.25">
      <c r="A127" s="172" t="s">
        <v>42</v>
      </c>
      <c r="B127" s="173">
        <v>2</v>
      </c>
      <c r="C127" s="181" t="s">
        <v>71</v>
      </c>
      <c r="D127" s="10"/>
    </row>
    <row r="128" spans="1:8" x14ac:dyDescent="0.25">
      <c r="A128" s="172" t="s">
        <v>90</v>
      </c>
      <c r="B128" s="173">
        <v>3</v>
      </c>
      <c r="C128" s="183" t="s">
        <v>85</v>
      </c>
      <c r="D128" s="10"/>
    </row>
    <row r="129" spans="1:8" x14ac:dyDescent="0.25">
      <c r="A129" s="172" t="s">
        <v>49</v>
      </c>
      <c r="B129" s="173">
        <v>19</v>
      </c>
      <c r="C129" s="183" t="s">
        <v>122</v>
      </c>
      <c r="D129" s="10"/>
    </row>
    <row r="130" spans="1:8" ht="12.75" customHeight="1" x14ac:dyDescent="0.25">
      <c r="A130" s="1"/>
      <c r="B130" s="2"/>
      <c r="C130" s="182" t="s">
        <v>31</v>
      </c>
      <c r="D130" s="10"/>
      <c r="F130" s="31"/>
      <c r="G130" s="32"/>
      <c r="H130" s="33"/>
    </row>
    <row r="131" spans="1:8" ht="15" x14ac:dyDescent="0.25">
      <c r="A131" s="172" t="s">
        <v>42</v>
      </c>
      <c r="B131" s="173">
        <v>2</v>
      </c>
      <c r="C131" s="181" t="s">
        <v>71</v>
      </c>
      <c r="D131" s="10"/>
      <c r="F131" s="34"/>
      <c r="G131" s="30"/>
      <c r="H131" s="30"/>
    </row>
    <row r="132" spans="1:8" ht="15" x14ac:dyDescent="0.25">
      <c r="A132" s="172" t="s">
        <v>90</v>
      </c>
      <c r="B132" s="173">
        <v>3</v>
      </c>
      <c r="C132" s="183" t="s">
        <v>85</v>
      </c>
      <c r="D132" s="10"/>
      <c r="F132" s="34"/>
      <c r="G132" s="30"/>
      <c r="H132" s="30"/>
    </row>
    <row r="133" spans="1:8" x14ac:dyDescent="0.25">
      <c r="A133" s="172" t="s">
        <v>49</v>
      </c>
      <c r="B133" s="173">
        <v>22</v>
      </c>
      <c r="C133" s="183" t="s">
        <v>122</v>
      </c>
      <c r="D133" s="10"/>
      <c r="F133" s="36"/>
      <c r="G133" s="37"/>
      <c r="H133" s="37"/>
    </row>
    <row r="134" spans="1:8" x14ac:dyDescent="0.25">
      <c r="A134" s="2"/>
      <c r="B134" s="2"/>
      <c r="C134" s="182" t="s">
        <v>32</v>
      </c>
      <c r="D134" s="10"/>
      <c r="F134" s="36"/>
      <c r="G134" s="37"/>
      <c r="H134" s="37"/>
    </row>
    <row r="135" spans="1:8" x14ac:dyDescent="0.25">
      <c r="A135" s="172" t="s">
        <v>42</v>
      </c>
      <c r="B135" s="173">
        <v>2</v>
      </c>
      <c r="C135" s="181" t="s">
        <v>71</v>
      </c>
      <c r="D135" s="10"/>
      <c r="F135" s="36"/>
      <c r="G135" s="37"/>
      <c r="H135" s="37"/>
    </row>
    <row r="136" spans="1:8" x14ac:dyDescent="0.25">
      <c r="A136" s="172" t="s">
        <v>90</v>
      </c>
      <c r="B136" s="173">
        <v>3</v>
      </c>
      <c r="C136" s="183" t="s">
        <v>85</v>
      </c>
      <c r="D136" s="10"/>
      <c r="F136" s="36"/>
      <c r="G136" s="37"/>
      <c r="H136" s="37"/>
    </row>
    <row r="137" spans="1:8" x14ac:dyDescent="0.25">
      <c r="A137" s="172" t="s">
        <v>49</v>
      </c>
      <c r="B137" s="173">
        <v>7</v>
      </c>
      <c r="C137" s="183" t="s">
        <v>122</v>
      </c>
      <c r="D137" s="51"/>
      <c r="F137" s="36"/>
      <c r="G137" s="37"/>
      <c r="H137" s="37"/>
    </row>
    <row r="138" spans="1:8" x14ac:dyDescent="0.25">
      <c r="A138" s="50"/>
      <c r="B138" s="50"/>
      <c r="C138" s="182" t="s">
        <v>33</v>
      </c>
      <c r="D138" s="51"/>
      <c r="F138" s="36"/>
      <c r="G138" s="37"/>
      <c r="H138" s="37"/>
    </row>
    <row r="139" spans="1:8" x14ac:dyDescent="0.25">
      <c r="A139" s="172" t="s">
        <v>42</v>
      </c>
      <c r="B139" s="173">
        <v>2</v>
      </c>
      <c r="C139" s="181" t="s">
        <v>71</v>
      </c>
      <c r="D139" s="51"/>
      <c r="F139" s="36"/>
      <c r="G139" s="37"/>
      <c r="H139" s="37"/>
    </row>
    <row r="140" spans="1:8" x14ac:dyDescent="0.25">
      <c r="A140" s="172" t="s">
        <v>90</v>
      </c>
      <c r="B140" s="173">
        <v>3</v>
      </c>
      <c r="C140" s="183" t="s">
        <v>85</v>
      </c>
      <c r="D140" s="171"/>
      <c r="F140" s="36"/>
      <c r="G140" s="37"/>
      <c r="H140" s="37"/>
    </row>
    <row r="141" spans="1:8" ht="14.25" thickBot="1" x14ac:dyDescent="0.3">
      <c r="A141" s="172" t="s">
        <v>49</v>
      </c>
      <c r="B141" s="173">
        <v>22</v>
      </c>
      <c r="C141" s="183" t="s">
        <v>122</v>
      </c>
      <c r="D141" s="171"/>
      <c r="F141" s="36"/>
      <c r="G141" s="37"/>
      <c r="H141" s="37"/>
    </row>
    <row r="142" spans="1:8" ht="14.25" thickBot="1" x14ac:dyDescent="0.3">
      <c r="A142" s="12" t="s">
        <v>21</v>
      </c>
      <c r="B142" s="12">
        <f>SUM(B126:B141)</f>
        <v>90</v>
      </c>
      <c r="C142" s="184" t="s">
        <v>28</v>
      </c>
      <c r="D142" s="13"/>
    </row>
    <row r="143" spans="1:8" ht="15" thickBot="1" x14ac:dyDescent="0.35">
      <c r="A143" s="14"/>
      <c r="B143" s="14"/>
      <c r="C143" s="185"/>
      <c r="D143" s="14"/>
    </row>
    <row r="144" spans="1:8" ht="18.75" thickBot="1" x14ac:dyDescent="0.3">
      <c r="A144" s="6" t="s">
        <v>13</v>
      </c>
      <c r="B144" s="7">
        <v>8</v>
      </c>
      <c r="C144" s="178"/>
      <c r="D144" s="84"/>
    </row>
    <row r="145" spans="1:8" ht="27.75" thickBot="1" x14ac:dyDescent="0.3">
      <c r="A145" s="8" t="s">
        <v>2</v>
      </c>
      <c r="B145" s="18" t="s">
        <v>14</v>
      </c>
      <c r="C145" s="179" t="s">
        <v>6</v>
      </c>
      <c r="D145" s="8" t="s">
        <v>12</v>
      </c>
    </row>
    <row r="146" spans="1:8" x14ac:dyDescent="0.25">
      <c r="A146" s="5"/>
      <c r="B146" s="4"/>
      <c r="C146" s="180" t="s">
        <v>30</v>
      </c>
      <c r="D146" s="9"/>
    </row>
    <row r="147" spans="1:8" x14ac:dyDescent="0.25">
      <c r="A147" s="172" t="s">
        <v>42</v>
      </c>
      <c r="B147" s="173">
        <v>2</v>
      </c>
      <c r="C147" s="181" t="s">
        <v>71</v>
      </c>
      <c r="D147" s="10"/>
    </row>
    <row r="148" spans="1:8" x14ac:dyDescent="0.25">
      <c r="A148" s="172" t="s">
        <v>90</v>
      </c>
      <c r="B148" s="173">
        <v>3</v>
      </c>
      <c r="C148" s="183" t="s">
        <v>85</v>
      </c>
      <c r="D148" s="10"/>
    </row>
    <row r="149" spans="1:8" x14ac:dyDescent="0.25">
      <c r="A149" s="172" t="s">
        <v>49</v>
      </c>
      <c r="B149" s="173">
        <v>19</v>
      </c>
      <c r="C149" s="183" t="s">
        <v>122</v>
      </c>
      <c r="D149" s="10"/>
    </row>
    <row r="150" spans="1:8" ht="12.75" customHeight="1" x14ac:dyDescent="0.25">
      <c r="A150" s="1"/>
      <c r="B150" s="2"/>
      <c r="C150" s="182" t="s">
        <v>31</v>
      </c>
      <c r="D150" s="10"/>
      <c r="F150" s="31"/>
      <c r="G150" s="32"/>
      <c r="H150" s="33"/>
    </row>
    <row r="151" spans="1:8" ht="15" x14ac:dyDescent="0.25">
      <c r="A151" s="172" t="s">
        <v>42</v>
      </c>
      <c r="B151" s="173">
        <v>2</v>
      </c>
      <c r="C151" s="181" t="s">
        <v>71</v>
      </c>
      <c r="D151" s="10"/>
      <c r="F151" s="34"/>
      <c r="G151" s="30"/>
      <c r="H151" s="30"/>
    </row>
    <row r="152" spans="1:8" ht="15" x14ac:dyDescent="0.25">
      <c r="A152" s="172" t="s">
        <v>90</v>
      </c>
      <c r="B152" s="173">
        <v>3</v>
      </c>
      <c r="C152" s="183" t="s">
        <v>85</v>
      </c>
      <c r="D152" s="10"/>
      <c r="F152" s="34"/>
      <c r="G152" s="30"/>
      <c r="H152" s="30"/>
    </row>
    <row r="153" spans="1:8" x14ac:dyDescent="0.25">
      <c r="A153" s="172" t="s">
        <v>49</v>
      </c>
      <c r="B153" s="173">
        <v>22</v>
      </c>
      <c r="C153" s="183" t="s">
        <v>122</v>
      </c>
      <c r="D153" s="10"/>
      <c r="F153" s="36"/>
      <c r="G153" s="37"/>
      <c r="H153" s="37"/>
    </row>
    <row r="154" spans="1:8" x14ac:dyDescent="0.25">
      <c r="A154" s="2"/>
      <c r="B154" s="2"/>
      <c r="C154" s="182" t="s">
        <v>32</v>
      </c>
      <c r="D154" s="10"/>
      <c r="F154" s="36"/>
      <c r="G154" s="37"/>
      <c r="H154" s="37"/>
    </row>
    <row r="155" spans="1:8" x14ac:dyDescent="0.25">
      <c r="A155" s="172" t="s">
        <v>42</v>
      </c>
      <c r="B155" s="173">
        <v>2</v>
      </c>
      <c r="C155" s="181" t="s">
        <v>71</v>
      </c>
      <c r="D155" s="10"/>
      <c r="F155" s="36"/>
      <c r="G155" s="37"/>
      <c r="H155" s="37"/>
    </row>
    <row r="156" spans="1:8" x14ac:dyDescent="0.25">
      <c r="A156" s="172" t="s">
        <v>90</v>
      </c>
      <c r="B156" s="173">
        <v>3</v>
      </c>
      <c r="C156" s="183" t="s">
        <v>85</v>
      </c>
      <c r="D156" s="10"/>
      <c r="F156" s="36"/>
      <c r="G156" s="37"/>
      <c r="H156" s="37"/>
    </row>
    <row r="157" spans="1:8" x14ac:dyDescent="0.25">
      <c r="A157" s="172" t="s">
        <v>49</v>
      </c>
      <c r="B157" s="173">
        <v>7</v>
      </c>
      <c r="C157" s="183" t="s">
        <v>122</v>
      </c>
      <c r="D157" s="51"/>
      <c r="F157" s="36"/>
      <c r="G157" s="37"/>
      <c r="H157" s="37"/>
    </row>
    <row r="158" spans="1:8" x14ac:dyDescent="0.25">
      <c r="A158" s="50"/>
      <c r="B158" s="50"/>
      <c r="C158" s="182" t="s">
        <v>33</v>
      </c>
      <c r="D158" s="51"/>
      <c r="F158" s="36"/>
      <c r="G158" s="37"/>
      <c r="H158" s="37"/>
    </row>
    <row r="159" spans="1:8" x14ac:dyDescent="0.25">
      <c r="A159" s="172" t="s">
        <v>42</v>
      </c>
      <c r="B159" s="173">
        <v>2</v>
      </c>
      <c r="C159" s="181" t="s">
        <v>71</v>
      </c>
      <c r="D159" s="51"/>
      <c r="F159" s="36"/>
      <c r="G159" s="37"/>
      <c r="H159" s="37"/>
    </row>
    <row r="160" spans="1:8" x14ac:dyDescent="0.25">
      <c r="A160" s="172" t="s">
        <v>90</v>
      </c>
      <c r="B160" s="173">
        <v>3</v>
      </c>
      <c r="C160" s="183" t="s">
        <v>85</v>
      </c>
      <c r="D160" s="171"/>
      <c r="F160" s="36"/>
      <c r="G160" s="37"/>
      <c r="H160" s="37"/>
    </row>
    <row r="161" spans="1:8" ht="14.25" thickBot="1" x14ac:dyDescent="0.3">
      <c r="A161" s="172" t="s">
        <v>49</v>
      </c>
      <c r="B161" s="173">
        <v>22</v>
      </c>
      <c r="C161" s="183" t="s">
        <v>122</v>
      </c>
      <c r="D161" s="171"/>
      <c r="F161" s="36"/>
      <c r="G161" s="37"/>
      <c r="H161" s="37"/>
    </row>
    <row r="162" spans="1:8" ht="14.25" thickBot="1" x14ac:dyDescent="0.3">
      <c r="A162" s="12" t="s">
        <v>21</v>
      </c>
      <c r="B162" s="12">
        <f>SUM(B146:B161)</f>
        <v>90</v>
      </c>
      <c r="C162" s="184" t="s">
        <v>28</v>
      </c>
      <c r="D162" s="13"/>
    </row>
    <row r="163" spans="1:8" ht="15" thickBot="1" x14ac:dyDescent="0.35">
      <c r="A163" s="14"/>
      <c r="B163" s="14"/>
      <c r="C163" s="185"/>
      <c r="D163" s="14"/>
    </row>
    <row r="164" spans="1:8" ht="18.75" thickBot="1" x14ac:dyDescent="0.3">
      <c r="A164" s="6" t="s">
        <v>13</v>
      </c>
      <c r="B164" s="7">
        <v>9</v>
      </c>
      <c r="C164" s="178"/>
      <c r="D164" s="84"/>
    </row>
    <row r="165" spans="1:8" ht="27.75" thickBot="1" x14ac:dyDescent="0.3">
      <c r="A165" s="8" t="s">
        <v>2</v>
      </c>
      <c r="B165" s="18" t="s">
        <v>14</v>
      </c>
      <c r="C165" s="179" t="s">
        <v>6</v>
      </c>
      <c r="D165" s="8" t="s">
        <v>12</v>
      </c>
    </row>
    <row r="166" spans="1:8" x14ac:dyDescent="0.25">
      <c r="A166" s="5"/>
      <c r="B166" s="4"/>
      <c r="C166" s="180" t="s">
        <v>30</v>
      </c>
      <c r="D166" s="9"/>
    </row>
    <row r="167" spans="1:8" x14ac:dyDescent="0.25">
      <c r="A167" s="172" t="s">
        <v>42</v>
      </c>
      <c r="B167" s="173">
        <v>2</v>
      </c>
      <c r="C167" s="181" t="s">
        <v>71</v>
      </c>
      <c r="D167" s="10"/>
    </row>
    <row r="168" spans="1:8" x14ac:dyDescent="0.25">
      <c r="A168" s="172" t="s">
        <v>90</v>
      </c>
      <c r="B168" s="173">
        <v>3</v>
      </c>
      <c r="C168" s="183" t="s">
        <v>85</v>
      </c>
      <c r="D168" s="10"/>
    </row>
    <row r="169" spans="1:8" x14ac:dyDescent="0.25">
      <c r="A169" s="172" t="s">
        <v>49</v>
      </c>
      <c r="B169" s="173">
        <v>19</v>
      </c>
      <c r="C169" s="183" t="s">
        <v>122</v>
      </c>
      <c r="D169" s="10"/>
    </row>
    <row r="170" spans="1:8" ht="12.75" customHeight="1" x14ac:dyDescent="0.25">
      <c r="A170" s="1"/>
      <c r="B170" s="2"/>
      <c r="C170" s="182" t="s">
        <v>31</v>
      </c>
      <c r="D170" s="10"/>
      <c r="F170" s="31"/>
      <c r="G170" s="32"/>
      <c r="H170" s="33"/>
    </row>
    <row r="171" spans="1:8" ht="15" x14ac:dyDescent="0.25">
      <c r="A171" s="172" t="s">
        <v>42</v>
      </c>
      <c r="B171" s="173">
        <v>2</v>
      </c>
      <c r="C171" s="181" t="s">
        <v>71</v>
      </c>
      <c r="D171" s="10"/>
      <c r="F171" s="34"/>
      <c r="G171" s="30"/>
      <c r="H171" s="30"/>
    </row>
    <row r="172" spans="1:8" ht="15" x14ac:dyDescent="0.25">
      <c r="A172" s="172" t="s">
        <v>90</v>
      </c>
      <c r="B172" s="173">
        <v>3</v>
      </c>
      <c r="C172" s="183" t="s">
        <v>85</v>
      </c>
      <c r="D172" s="10"/>
      <c r="F172" s="34"/>
      <c r="G172" s="30"/>
      <c r="H172" s="30"/>
    </row>
    <row r="173" spans="1:8" x14ac:dyDescent="0.25">
      <c r="A173" s="172" t="s">
        <v>49</v>
      </c>
      <c r="B173" s="173">
        <v>22</v>
      </c>
      <c r="C173" s="183" t="s">
        <v>122</v>
      </c>
      <c r="D173" s="10"/>
      <c r="F173" s="36"/>
      <c r="G173" s="37"/>
      <c r="H173" s="37"/>
    </row>
    <row r="174" spans="1:8" x14ac:dyDescent="0.25">
      <c r="A174" s="2"/>
      <c r="B174" s="2"/>
      <c r="C174" s="182" t="s">
        <v>32</v>
      </c>
      <c r="D174" s="10"/>
      <c r="F174" s="36"/>
      <c r="G174" s="37"/>
      <c r="H174" s="37"/>
    </row>
    <row r="175" spans="1:8" x14ac:dyDescent="0.25">
      <c r="A175" s="172" t="s">
        <v>42</v>
      </c>
      <c r="B175" s="173">
        <v>2</v>
      </c>
      <c r="C175" s="181" t="s">
        <v>71</v>
      </c>
      <c r="D175" s="10"/>
      <c r="F175" s="36"/>
      <c r="G175" s="37"/>
      <c r="H175" s="37"/>
    </row>
    <row r="176" spans="1:8" x14ac:dyDescent="0.25">
      <c r="A176" s="172" t="s">
        <v>90</v>
      </c>
      <c r="B176" s="173">
        <v>3</v>
      </c>
      <c r="C176" s="183" t="s">
        <v>85</v>
      </c>
      <c r="D176" s="10"/>
      <c r="F176" s="36"/>
      <c r="G176" s="37"/>
      <c r="H176" s="37"/>
    </row>
    <row r="177" spans="1:8" x14ac:dyDescent="0.25">
      <c r="A177" s="172" t="s">
        <v>49</v>
      </c>
      <c r="B177" s="173">
        <v>7</v>
      </c>
      <c r="C177" s="183" t="s">
        <v>122</v>
      </c>
      <c r="D177" s="51"/>
      <c r="F177" s="36"/>
      <c r="G177" s="37"/>
      <c r="H177" s="37"/>
    </row>
    <row r="178" spans="1:8" x14ac:dyDescent="0.25">
      <c r="A178" s="50"/>
      <c r="B178" s="50"/>
      <c r="C178" s="182" t="s">
        <v>33</v>
      </c>
      <c r="D178" s="51"/>
      <c r="F178" s="36"/>
      <c r="G178" s="37"/>
      <c r="H178" s="37"/>
    </row>
    <row r="179" spans="1:8" x14ac:dyDescent="0.25">
      <c r="A179" s="172" t="s">
        <v>42</v>
      </c>
      <c r="B179" s="173">
        <v>2</v>
      </c>
      <c r="C179" s="181" t="s">
        <v>71</v>
      </c>
      <c r="D179" s="51"/>
      <c r="F179" s="36"/>
      <c r="G179" s="37"/>
      <c r="H179" s="37"/>
    </row>
    <row r="180" spans="1:8" x14ac:dyDescent="0.25">
      <c r="A180" s="172" t="s">
        <v>90</v>
      </c>
      <c r="B180" s="173">
        <v>3</v>
      </c>
      <c r="C180" s="183" t="s">
        <v>85</v>
      </c>
      <c r="D180" s="171"/>
      <c r="F180" s="36"/>
      <c r="G180" s="37"/>
      <c r="H180" s="37"/>
    </row>
    <row r="181" spans="1:8" ht="14.25" thickBot="1" x14ac:dyDescent="0.3">
      <c r="A181" s="172" t="s">
        <v>49</v>
      </c>
      <c r="B181" s="173">
        <v>22</v>
      </c>
      <c r="C181" s="183" t="s">
        <v>122</v>
      </c>
      <c r="D181" s="171"/>
      <c r="F181" s="36"/>
      <c r="G181" s="37"/>
      <c r="H181" s="37"/>
    </row>
    <row r="182" spans="1:8" ht="14.25" thickBot="1" x14ac:dyDescent="0.3">
      <c r="A182" s="12" t="s">
        <v>21</v>
      </c>
      <c r="B182" s="12">
        <f>SUM(B166:B181)</f>
        <v>90</v>
      </c>
      <c r="C182" s="184" t="s">
        <v>28</v>
      </c>
      <c r="D182" s="13"/>
    </row>
    <row r="183" spans="1:8" ht="14.25" x14ac:dyDescent="0.3">
      <c r="A183" s="14"/>
      <c r="B183" s="14"/>
      <c r="C183" s="185"/>
      <c r="D183" s="14"/>
    </row>
    <row r="184" spans="1:8" x14ac:dyDescent="0.25">
      <c r="A184" s="87" t="s">
        <v>29</v>
      </c>
    </row>
  </sheetData>
  <sheetProtection algorithmName="SHA-512" hashValue="yDSQieaHtGal707XVb1VzZuKHxNGegBgd6s/8u5iQZhjlqhAJugjCKAP0D9jtkbn/eEyGPNDj9wEOBOze442AQ==" saltValue="M7lAaDDpuLtLNSYJg7FziA==" spinCount="100000" sheet="1"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30">
        <v>44949</v>
      </c>
      <c r="D2" s="230"/>
      <c r="E2" s="230"/>
      <c r="F2" s="230"/>
      <c r="G2" s="230">
        <f>C2+7</f>
        <v>44956</v>
      </c>
      <c r="H2" s="230"/>
      <c r="I2" s="230"/>
      <c r="J2" s="230"/>
      <c r="K2" s="230">
        <f>G2+7</f>
        <v>44963</v>
      </c>
      <c r="L2" s="230"/>
      <c r="M2" s="230"/>
      <c r="N2" s="230"/>
      <c r="O2" s="230">
        <f>K2+7</f>
        <v>44970</v>
      </c>
      <c r="P2" s="230"/>
      <c r="Q2" s="230"/>
      <c r="R2" s="230"/>
      <c r="S2" s="230">
        <f>O2+7</f>
        <v>44977</v>
      </c>
      <c r="T2" s="230"/>
      <c r="U2" s="230"/>
      <c r="V2" s="230"/>
      <c r="W2" s="230">
        <f>S2+7</f>
        <v>44984</v>
      </c>
      <c r="X2" s="230"/>
      <c r="Y2" s="230"/>
      <c r="Z2" s="230"/>
      <c r="AA2" s="230">
        <f>W2+7</f>
        <v>44991</v>
      </c>
      <c r="AB2" s="230"/>
      <c r="AC2" s="230"/>
      <c r="AD2" s="230"/>
      <c r="AE2" s="230">
        <f>AA2+7</f>
        <v>44998</v>
      </c>
      <c r="AF2" s="230"/>
      <c r="AG2" s="230"/>
      <c r="AH2" s="230"/>
      <c r="AI2" s="230">
        <f>AE2+7</f>
        <v>45005</v>
      </c>
      <c r="AJ2" s="230"/>
      <c r="AK2" s="230"/>
      <c r="AL2" s="230"/>
    </row>
    <row r="3" spans="1:43" ht="14.25" thickBot="1" x14ac:dyDescent="0.3">
      <c r="C3" s="229" t="s">
        <v>61</v>
      </c>
      <c r="D3" s="229"/>
      <c r="E3" s="229"/>
      <c r="F3" s="229"/>
      <c r="G3" s="229" t="s">
        <v>62</v>
      </c>
      <c r="H3" s="229"/>
      <c r="I3" s="229"/>
      <c r="J3" s="229"/>
      <c r="K3" s="229" t="s">
        <v>63</v>
      </c>
      <c r="L3" s="229"/>
      <c r="M3" s="229"/>
      <c r="N3" s="229"/>
      <c r="O3" s="229" t="s">
        <v>64</v>
      </c>
      <c r="P3" s="229"/>
      <c r="Q3" s="229"/>
      <c r="R3" s="229"/>
      <c r="S3" s="229" t="s">
        <v>65</v>
      </c>
      <c r="T3" s="229"/>
      <c r="U3" s="229"/>
      <c r="V3" s="229"/>
      <c r="W3" s="229" t="s">
        <v>66</v>
      </c>
      <c r="X3" s="229"/>
      <c r="Y3" s="229"/>
      <c r="Z3" s="229"/>
      <c r="AA3" s="229" t="s">
        <v>67</v>
      </c>
      <c r="AB3" s="229"/>
      <c r="AC3" s="229"/>
      <c r="AD3" s="229"/>
      <c r="AE3" s="229" t="s">
        <v>68</v>
      </c>
      <c r="AF3" s="229"/>
      <c r="AG3" s="229"/>
      <c r="AH3" s="229"/>
      <c r="AI3" s="229" t="s">
        <v>69</v>
      </c>
      <c r="AJ3" s="229"/>
      <c r="AK3" s="229"/>
      <c r="AL3" s="229"/>
    </row>
    <row r="4" spans="1:43" ht="30" customHeight="1" x14ac:dyDescent="0.25">
      <c r="B4" s="5" t="s">
        <v>43</v>
      </c>
      <c r="C4" s="121"/>
      <c r="D4" s="122"/>
      <c r="E4" s="122"/>
      <c r="F4" s="123"/>
      <c r="G4" s="138"/>
      <c r="H4" s="139"/>
      <c r="I4" s="122"/>
      <c r="J4" s="123"/>
      <c r="K4" s="122"/>
      <c r="L4" s="122"/>
      <c r="M4" s="122"/>
      <c r="N4" s="123"/>
      <c r="O4" s="122"/>
      <c r="P4" s="122"/>
      <c r="Q4" s="122"/>
      <c r="R4" s="123"/>
      <c r="S4" s="122"/>
      <c r="T4" s="122"/>
      <c r="U4" s="122"/>
      <c r="V4" s="123"/>
      <c r="W4" s="122"/>
      <c r="X4" s="122"/>
      <c r="Y4" s="122"/>
      <c r="Z4" s="123"/>
      <c r="AA4" s="122"/>
      <c r="AB4" s="122"/>
      <c r="AC4" s="122"/>
      <c r="AD4" s="123"/>
      <c r="AE4" s="122"/>
      <c r="AF4" s="122"/>
      <c r="AG4" s="122"/>
      <c r="AH4" s="123"/>
      <c r="AI4" s="122"/>
      <c r="AJ4" s="122"/>
      <c r="AK4" s="122"/>
      <c r="AL4" s="123"/>
    </row>
    <row r="5" spans="1:43" ht="30" customHeight="1" x14ac:dyDescent="0.25">
      <c r="B5" s="1" t="s">
        <v>44</v>
      </c>
      <c r="C5" s="124"/>
      <c r="D5" s="136"/>
      <c r="E5" s="125"/>
      <c r="F5" s="126"/>
      <c r="G5" s="132"/>
      <c r="H5" s="125"/>
      <c r="I5" s="136"/>
      <c r="J5" s="137"/>
      <c r="K5" s="136"/>
      <c r="L5" s="125"/>
      <c r="M5" s="125"/>
      <c r="N5" s="126"/>
      <c r="O5" s="125"/>
      <c r="P5" s="125"/>
      <c r="Q5" s="125"/>
      <c r="R5" s="126"/>
      <c r="S5" s="125"/>
      <c r="T5" s="125"/>
      <c r="U5" s="125"/>
      <c r="V5" s="126"/>
      <c r="W5" s="125"/>
      <c r="X5" s="125"/>
      <c r="Y5" s="125"/>
      <c r="Z5" s="126"/>
      <c r="AA5" s="125"/>
      <c r="AB5" s="125"/>
      <c r="AC5" s="125"/>
      <c r="AD5" s="126"/>
      <c r="AE5" s="125"/>
      <c r="AF5" s="125"/>
      <c r="AG5" s="125"/>
      <c r="AH5" s="126"/>
      <c r="AI5" s="125"/>
      <c r="AJ5" s="125"/>
      <c r="AK5" s="125"/>
      <c r="AL5" s="126"/>
    </row>
    <row r="6" spans="1:43" ht="30" customHeight="1" x14ac:dyDescent="0.25">
      <c r="B6" s="1" t="s">
        <v>45</v>
      </c>
      <c r="C6" s="124"/>
      <c r="D6" s="125"/>
      <c r="E6" s="125"/>
      <c r="F6" s="126"/>
      <c r="G6" s="132"/>
      <c r="H6" s="125"/>
      <c r="I6" s="125"/>
      <c r="J6" s="126"/>
      <c r="K6" s="125"/>
      <c r="L6" s="136"/>
      <c r="M6" s="125"/>
      <c r="N6" s="126"/>
      <c r="O6" s="125"/>
      <c r="P6" s="125"/>
      <c r="Q6" s="125"/>
      <c r="R6" s="126"/>
      <c r="S6" s="125"/>
      <c r="T6" s="125"/>
      <c r="U6" s="125"/>
      <c r="V6" s="126"/>
      <c r="W6" s="125"/>
      <c r="X6" s="125"/>
      <c r="Y6" s="125"/>
      <c r="Z6" s="126"/>
      <c r="AA6" s="125"/>
      <c r="AB6" s="125"/>
      <c r="AC6" s="125"/>
      <c r="AD6" s="126"/>
      <c r="AE6" s="125"/>
      <c r="AF6" s="125"/>
      <c r="AG6" s="125"/>
      <c r="AH6" s="126"/>
      <c r="AI6" s="125"/>
      <c r="AJ6" s="125"/>
      <c r="AK6" s="125"/>
      <c r="AL6" s="126"/>
    </row>
    <row r="7" spans="1:43" ht="30" customHeight="1" x14ac:dyDescent="0.25">
      <c r="B7" s="1" t="s">
        <v>46</v>
      </c>
      <c r="C7" s="124"/>
      <c r="D7" s="125"/>
      <c r="E7" s="125"/>
      <c r="F7" s="126"/>
      <c r="G7" s="132"/>
      <c r="H7" s="125"/>
      <c r="I7" s="125"/>
      <c r="J7" s="126"/>
      <c r="K7" s="125"/>
      <c r="L7" s="125"/>
      <c r="M7" s="136"/>
      <c r="N7" s="137"/>
      <c r="O7" s="125"/>
      <c r="P7" s="125"/>
      <c r="Q7" s="125"/>
      <c r="R7" s="126"/>
      <c r="S7" s="136"/>
      <c r="T7" s="136"/>
      <c r="U7" s="140"/>
      <c r="V7" s="126"/>
      <c r="W7" s="136"/>
      <c r="X7" s="136"/>
      <c r="Y7" s="140"/>
      <c r="Z7" s="141"/>
      <c r="AA7" s="136"/>
      <c r="AB7" s="136"/>
      <c r="AC7" s="140"/>
      <c r="AD7" s="141"/>
      <c r="AE7" s="125"/>
      <c r="AF7" s="125"/>
      <c r="AG7" s="125"/>
      <c r="AH7" s="126"/>
      <c r="AI7" s="125"/>
      <c r="AJ7" s="125"/>
      <c r="AK7" s="125"/>
      <c r="AL7" s="126"/>
      <c r="AN7" s="144"/>
      <c r="AO7" s="231" t="s">
        <v>70</v>
      </c>
      <c r="AP7" s="231"/>
      <c r="AQ7" s="231"/>
    </row>
    <row r="8" spans="1:43" ht="30" customHeight="1" x14ac:dyDescent="0.25">
      <c r="B8" s="1" t="s">
        <v>47</v>
      </c>
      <c r="C8" s="127"/>
      <c r="D8" s="125"/>
      <c r="E8" s="136"/>
      <c r="F8" s="137"/>
      <c r="G8" s="132"/>
      <c r="H8" s="125"/>
      <c r="I8" s="125"/>
      <c r="J8" s="126"/>
      <c r="K8" s="125"/>
      <c r="L8" s="125"/>
      <c r="M8" s="125"/>
      <c r="N8" s="126"/>
      <c r="O8" s="125"/>
      <c r="P8" s="125"/>
      <c r="Q8" s="125"/>
      <c r="R8" s="126"/>
      <c r="S8" s="125"/>
      <c r="T8" s="125"/>
      <c r="U8" s="136"/>
      <c r="V8" s="141"/>
      <c r="W8" s="125"/>
      <c r="X8" s="125"/>
      <c r="Y8" s="136"/>
      <c r="Z8" s="141"/>
      <c r="AA8" s="125"/>
      <c r="AB8" s="125"/>
      <c r="AC8" s="136"/>
      <c r="AD8" s="141"/>
      <c r="AE8" s="136"/>
      <c r="AF8" s="136"/>
      <c r="AG8" s="125"/>
      <c r="AH8" s="126"/>
      <c r="AI8" s="125"/>
      <c r="AJ8" s="125"/>
      <c r="AK8" s="125"/>
      <c r="AL8" s="126"/>
      <c r="AN8" s="145"/>
      <c r="AO8" s="231" t="s">
        <v>34</v>
      </c>
      <c r="AP8" s="231"/>
      <c r="AQ8" s="231"/>
    </row>
    <row r="9" spans="1:43" ht="30" customHeight="1" x14ac:dyDescent="0.25">
      <c r="B9" s="1" t="s">
        <v>48</v>
      </c>
      <c r="C9" s="124"/>
      <c r="D9" s="125"/>
      <c r="E9" s="125"/>
      <c r="F9" s="126"/>
      <c r="G9" s="132"/>
      <c r="H9" s="125"/>
      <c r="I9" s="125"/>
      <c r="J9" s="126"/>
      <c r="K9" s="125"/>
      <c r="L9" s="125"/>
      <c r="M9" s="125"/>
      <c r="N9" s="126"/>
      <c r="O9" s="125"/>
      <c r="P9" s="125"/>
      <c r="Q9" s="125"/>
      <c r="R9" s="126"/>
      <c r="S9" s="125"/>
      <c r="T9" s="125"/>
      <c r="U9" s="125"/>
      <c r="V9" s="141"/>
      <c r="W9" s="125"/>
      <c r="X9" s="125"/>
      <c r="Y9" s="125"/>
      <c r="Z9" s="126"/>
      <c r="AA9" s="125"/>
      <c r="AB9" s="125"/>
      <c r="AC9" s="125"/>
      <c r="AD9" s="126"/>
      <c r="AE9" s="125"/>
      <c r="AF9" s="125"/>
      <c r="AG9" s="140"/>
      <c r="AH9" s="137"/>
      <c r="AI9" s="136"/>
      <c r="AJ9" s="125"/>
      <c r="AK9" s="125"/>
      <c r="AL9" s="126"/>
    </row>
    <row r="10" spans="1:43" ht="30" customHeight="1" x14ac:dyDescent="0.25">
      <c r="B10" s="174" t="s">
        <v>102</v>
      </c>
      <c r="C10" s="128"/>
      <c r="D10" s="140"/>
      <c r="E10" s="125"/>
      <c r="F10" s="126"/>
      <c r="G10" s="132"/>
      <c r="H10" s="125"/>
      <c r="I10" s="125"/>
      <c r="J10" s="126"/>
      <c r="K10" s="125"/>
      <c r="L10" s="125"/>
      <c r="M10" s="125"/>
      <c r="N10" s="126"/>
      <c r="O10" s="125"/>
      <c r="P10" s="125"/>
      <c r="Q10" s="125"/>
      <c r="R10" s="126"/>
      <c r="S10" s="125"/>
      <c r="T10" s="125"/>
      <c r="U10" s="125"/>
      <c r="V10" s="137"/>
      <c r="W10" s="125"/>
      <c r="X10" s="125"/>
      <c r="Y10" s="125"/>
      <c r="Z10" s="137"/>
      <c r="AA10" s="125"/>
      <c r="AB10" s="125"/>
      <c r="AC10" s="125"/>
      <c r="AD10" s="137"/>
      <c r="AE10" s="125"/>
      <c r="AF10" s="125"/>
      <c r="AG10" s="136"/>
      <c r="AH10" s="126"/>
      <c r="AJ10" s="136"/>
      <c r="AK10" s="137"/>
      <c r="AL10" s="136"/>
    </row>
    <row r="11" spans="1:43" ht="30" customHeight="1" x14ac:dyDescent="0.25">
      <c r="B11" s="120" t="s">
        <v>49</v>
      </c>
      <c r="C11" s="135"/>
      <c r="D11" s="125"/>
      <c r="E11" s="125"/>
      <c r="F11" s="126"/>
      <c r="G11" s="132"/>
      <c r="H11" s="125"/>
      <c r="I11" s="125"/>
      <c r="J11" s="126"/>
      <c r="K11" s="125"/>
      <c r="L11" s="125"/>
      <c r="M11" s="125"/>
      <c r="N11" s="126"/>
      <c r="O11" s="125"/>
      <c r="P11" s="125"/>
      <c r="Q11" s="125"/>
      <c r="R11" s="126"/>
      <c r="S11" s="125"/>
      <c r="T11" s="125"/>
      <c r="U11" s="125"/>
      <c r="V11" s="126"/>
      <c r="W11" s="125"/>
      <c r="X11" s="125"/>
      <c r="Y11" s="125"/>
      <c r="Z11" s="126"/>
      <c r="AA11" s="125"/>
      <c r="AB11" s="125"/>
      <c r="AC11" s="125"/>
      <c r="AD11" s="126"/>
      <c r="AE11" s="125"/>
      <c r="AF11" s="125"/>
      <c r="AG11" s="125"/>
      <c r="AH11" s="126"/>
      <c r="AI11" s="125"/>
      <c r="AJ11" s="125"/>
      <c r="AK11" s="125"/>
      <c r="AL11" s="126"/>
    </row>
    <row r="12" spans="1:43" ht="30" customHeight="1" thickBot="1" x14ac:dyDescent="0.3">
      <c r="B12" s="175" t="s">
        <v>92</v>
      </c>
      <c r="C12" s="129"/>
      <c r="D12" s="130"/>
      <c r="E12" s="130"/>
      <c r="F12" s="134"/>
      <c r="G12" s="133"/>
      <c r="H12" s="130"/>
      <c r="I12" s="130"/>
      <c r="J12" s="134"/>
      <c r="K12" s="130"/>
      <c r="L12" s="130"/>
      <c r="M12" s="130"/>
      <c r="N12" s="134"/>
      <c r="O12" s="142"/>
      <c r="P12" s="142"/>
      <c r="Q12" s="142"/>
      <c r="R12" s="143"/>
      <c r="S12" s="130"/>
      <c r="T12" s="130"/>
      <c r="U12" s="130"/>
      <c r="V12" s="134"/>
      <c r="W12" s="130"/>
      <c r="X12" s="130"/>
      <c r="Y12" s="130"/>
      <c r="Z12" s="134"/>
      <c r="AA12" s="130"/>
      <c r="AB12" s="130"/>
      <c r="AC12" s="130"/>
      <c r="AD12" s="134"/>
      <c r="AE12" s="130"/>
      <c r="AF12" s="130"/>
      <c r="AG12" s="130"/>
      <c r="AH12" s="134"/>
      <c r="AI12" s="130"/>
      <c r="AJ12" s="130"/>
      <c r="AK12" s="130"/>
      <c r="AL12" s="131"/>
    </row>
    <row r="13" spans="1:43" x14ac:dyDescent="0.25">
      <c r="A13" s="117"/>
      <c r="B13" s="119"/>
    </row>
    <row r="14" spans="1:43" x14ac:dyDescent="0.25">
      <c r="A14" s="117"/>
      <c r="B14" s="119"/>
    </row>
    <row r="15" spans="1:43" x14ac:dyDescent="0.25">
      <c r="A15" s="117"/>
      <c r="B15" s="119"/>
    </row>
    <row r="16" spans="1:43" x14ac:dyDescent="0.25">
      <c r="A16" s="117"/>
      <c r="B16" s="119"/>
    </row>
    <row r="17" spans="1:2" x14ac:dyDescent="0.25">
      <c r="A17" s="117"/>
      <c r="B17" s="118"/>
    </row>
  </sheetData>
  <sheetProtection algorithmName="SHA-512" hashValue="L49+hRFa6IIeklCr1v7j79FmKjrCdf5ZnsenAhFKJg/vZDSQ07htYTww4LduYTUsRrDxT13of96rrjv00c+jGQ==" saltValue="d3u5YvDYE+9sUPuL8jxchA==" spinCount="100000" sheet="1" objects="1" scenarios="1"/>
  <mergeCells count="20">
    <mergeCell ref="AO7:AQ7"/>
    <mergeCell ref="AO8:AQ8"/>
    <mergeCell ref="AA2:AD2"/>
    <mergeCell ref="AA3:AD3"/>
    <mergeCell ref="AE2:AH2"/>
    <mergeCell ref="AE3:AH3"/>
    <mergeCell ref="AI2:AL2"/>
    <mergeCell ref="AI3:AL3"/>
    <mergeCell ref="O2:R2"/>
    <mergeCell ref="O3:R3"/>
    <mergeCell ref="S2:V2"/>
    <mergeCell ref="S3:V3"/>
    <mergeCell ref="W2:Z2"/>
    <mergeCell ref="W3:Z3"/>
    <mergeCell ref="C3:F3"/>
    <mergeCell ref="C2:F2"/>
    <mergeCell ref="G2:J2"/>
    <mergeCell ref="G3:J3"/>
    <mergeCell ref="K2:N2"/>
    <mergeCell ref="K3:N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14</vt:i4>
      </vt:variant>
    </vt:vector>
  </HeadingPairs>
  <TitlesOfParts>
    <vt:vector size="24" baseType="lpstr">
      <vt:lpstr>Donnees</vt:lpstr>
      <vt:lpstr>Diagramme</vt:lpstr>
      <vt:lpstr>Feuil1</vt:lpstr>
      <vt:lpstr>DiagramHeader</vt:lpstr>
      <vt:lpstr>DiagramFooter</vt:lpstr>
      <vt:lpstr>PlanificationWeek</vt:lpstr>
      <vt:lpstr>achievementWeek</vt:lpstr>
      <vt:lpstr>JNLTRAV</vt:lpstr>
      <vt:lpstr>Planning</vt:lpstr>
      <vt:lpstr>Planning Initial</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2023-03-01T12:49:08Z</cp:lastPrinted>
  <dcterms:created xsi:type="dcterms:W3CDTF">1996-10-21T11:03:58Z</dcterms:created>
  <dcterms:modified xsi:type="dcterms:W3CDTF">2023-03-16T14:59:03Z</dcterms:modified>
</cp:coreProperties>
</file>