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22A8FE96-175B-4F9C-8AAD-9E793E670AA7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Feuil1" sheetId="166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Planning!$A$1:$D$28</definedName>
    <definedName name="objPlanifWeek">PlanificationWeek!$A$1:$D$14</definedName>
    <definedName name="objRealizedWeek" localSheetId="5">achievementWeek!$A$1:$D$19</definedName>
    <definedName name="objRealizedWeek" localSheetId="6">JNLTRAV!$A$1:$D$39</definedName>
    <definedName name="_xlnm.Print_Area" localSheetId="0">Donnees!$A$1:$G$47</definedName>
    <definedName name="_xlnm.Print_Area" localSheetId="6">JNLTRAV!$A$1:$H$181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3" i="166" l="1"/>
  <c r="B163" i="166"/>
  <c r="B143" i="166"/>
  <c r="B123" i="166"/>
  <c r="B103" i="166"/>
  <c r="B81" i="166"/>
  <c r="B54" i="166"/>
  <c r="B27" i="166"/>
  <c r="B193" i="157"/>
  <c r="B173" i="157"/>
  <c r="B153" i="157"/>
  <c r="B133" i="157"/>
  <c r="B113" i="157"/>
  <c r="B84" i="157"/>
  <c r="B57" i="157"/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7" i="157"/>
  <c r="B38" i="156"/>
  <c r="B90" i="157" l="1"/>
  <c r="AE2" i="159"/>
  <c r="G2" i="159"/>
  <c r="K2" i="159"/>
  <c r="O2" i="159" s="1"/>
  <c r="S2" i="159" s="1"/>
  <c r="W2" i="159" s="1"/>
  <c r="AA2" i="159" s="1"/>
  <c r="AI2" i="159" s="1"/>
  <c r="B85" i="156" l="1"/>
  <c r="D1" i="156"/>
  <c r="D40" i="156" s="1"/>
  <c r="D62" i="156" s="1"/>
  <c r="D81" i="156" s="1"/>
  <c r="D87" i="156" s="1"/>
  <c r="D106" i="156" s="1"/>
  <c r="D125" i="156" s="1"/>
  <c r="D144" i="156" s="1"/>
  <c r="D163" i="156" s="1"/>
  <c r="B180" i="156"/>
  <c r="B161" i="156"/>
  <c r="B142" i="156"/>
  <c r="B123" i="156"/>
  <c r="B104" i="156"/>
  <c r="B79" i="156"/>
  <c r="B60" i="156"/>
  <c r="C12" i="7" l="1"/>
  <c r="B18" i="154" l="1"/>
  <c r="B13" i="11" l="1"/>
</calcChain>
</file>

<file path=xl/sharedStrings.xml><?xml version="1.0" encoding="utf-8"?>
<sst xmlns="http://schemas.openxmlformats.org/spreadsheetml/2006/main" count="910" uniqueCount="129">
  <si>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</si>
  <si>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</si>
  <si>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</si>
  <si>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</si>
  <si>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</si>
  <si>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</si>
  <si>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</si>
  <si>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</si>
  <si>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</si>
  <si>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</si>
  <si>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</si>
  <si>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</si>
  <si>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</si>
  <si>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</si>
  <si>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</si>
  <si>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</si>
  <si>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</si>
  <si>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</si>
  <si>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</si>
  <si>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</si>
  <si>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</si>
  <si>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</si>
  <si>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</si>
  <si>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</si>
  <si>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</si>
  <si>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</si>
  <si>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</si>
  <si>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</si>
  <si>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</si>
  <si>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</si>
  <si>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</si>
  <si>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</si>
  <si>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</si>
  <si>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</si>
  <si>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</si>
  <si>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</si>
  <si>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</si>
  <si>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</si>
  <si>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</si>
  <si>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</si>
  <si>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</si>
  <si>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</si>
  <si>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</si>
  <si>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</si>
  <si>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</si>
  <si>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</si>
  <si>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</si>
  <si>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</si>
  <si>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</si>
  <si>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</si>
  <si>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</si>
  <si>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</si>
  <si>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</si>
  <si>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</si>
  <si>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</si>
  <si>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</si>
  <si>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</si>
  <si>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</si>
  <si>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</si>
  <si>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</si>
  <si>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</si>
  <si>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</si>
  <si>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</si>
  <si>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</si>
  <si>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</si>
  <si>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</si>
  <si>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</si>
  <si>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</si>
  <si>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</si>
  <si>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</si>
  <si>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</si>
  <si>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</si>
  <si>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</si>
  <si>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</si>
  <si>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</si>
  <si>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</si>
  <si>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</si>
  <si>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</si>
  <si>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</si>
  <si>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</si>
  <si>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</si>
  <si>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</si>
  <si>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</si>
  <si>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</si>
  <si>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</si>
  <si>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</si>
  <si>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</si>
  <si>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</si>
  <si>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</si>
  <si>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</si>
  <si>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</si>
  <si>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</si>
  <si>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</si>
  <si>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</si>
  <si>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</si>
  <si>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</si>
  <si>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</si>
  <si>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</si>
  <si>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</si>
  <si>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</si>
  <si>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</si>
  <si>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</si>
  <si>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</si>
  <si>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</si>
  <si>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</si>
  <si>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</si>
  <si>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</si>
  <si>
    <t>Création de la planification détaillée</t>
  </si>
  <si>
    <t>Création d'un MPD fonctionnel et d'un fichier de donnée test</t>
  </si>
  <si>
    <t>Création des maquettes des page du site web</t>
  </si>
  <si>
    <t>Finission des maquettes des pages du site web</t>
  </si>
  <si>
    <t>Cours finisant plus tôt du à une réunion pour les enseignants</t>
  </si>
  <si>
    <t>Création du fichier et de fonction reliant la base de donnée et le site web</t>
  </si>
  <si>
    <t>Dévollepement du fichier reliant la base de donnée et le site web</t>
  </si>
  <si>
    <t>Création de la page de Login</t>
  </si>
  <si>
    <t>Création du fichier de configuration avec l'aide M.Charmier</t>
  </si>
  <si>
    <t>Ajout de l'option Modifier / Supprimer / Lire /Créer pour un membre</t>
  </si>
  <si>
    <t>Ajout de l'option de rechercher et de recherche à multicritères</t>
  </si>
  <si>
    <t>Création du template des pages du site web</t>
  </si>
  <si>
    <t>Ajout de l'option de trié dans un ordre croissant ou décroissant la liste de membre</t>
  </si>
  <si>
    <t>Ajout de l'option d'exporter la liste des membres en PDF grâce à un bouton</t>
  </si>
  <si>
    <t xml:space="preserve">Test du site </t>
  </si>
  <si>
    <t>Vérification que le site remplis bien les objectif du cahier des charges</t>
  </si>
  <si>
    <t>Temps en cas de retard</t>
  </si>
  <si>
    <t>Insérer la planification détaillée dans le rapport et réécriture du paragraphe liée à la planification détaillée</t>
  </si>
  <si>
    <t>Création de la présentation</t>
  </si>
  <si>
    <t xml:space="preserve">https://www.figma.com/file/iTiC4LW8fjBrWDqOhbiqlT/Untitled?node-id=0%3A1&amp;t=cudA4Iz14xpXyUYl-0 
https://www.youtube.com/watch?v=oBcbcmYfSLk </t>
  </si>
  <si>
    <t>Réalisation des maquettes des pages du site web avec Figma et envoie des maquettes à M.Chamrier pour comfirmation</t>
  </si>
  <si>
    <t>Changement de caneva du rapport pour celui officiel TPI et commencement de l'introduction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</si>
</sst>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1" fillId="0" borderId="6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63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9" fillId="4" borderId="13" xfId="0" applyFont="1" applyFill="1" applyBorder="1" applyAlignment="1">
      <alignment horizontal="left" vertical="center" wrapText="1"/>
    </xf>
    <xf numFmtId="0" fontId="10" fillId="5" borderId="0" xfId="0" applyFont="1" applyFill="1" applyAlignment="1">
      <alignment horizontal="left" vertical="center"/>
    </xf>
    <xf numFmtId="0" fontId="0" fillId="0" borderId="34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left" vertical="center"/>
    </xf>
    <xf numFmtId="0" fontId="0" fillId="0" borderId="9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hyperlink" Target="https://www.figma.com/file/iTiC4LW8fjBrWDqOhbiqlT/Untitled?node-id=0%3A1&amp;t=cudA4Iz14xpXyUYl-0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15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88" t="s">
        <v>18</v>
      </c>
      <c r="C19" s="189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91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92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44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45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46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94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95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104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96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97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99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98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100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101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48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49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17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813" ht="14.25" thickBot="1" x14ac:dyDescent="0.3">
      <c r="B1" s="90"/>
      <c r="C1" s="90"/>
    </row>
    <row r="2" spans="1:813" ht="42.75" customHeight="1" thickBot="1" x14ac:dyDescent="0.3">
      <c r="A2" s="91"/>
      <c r="B2" s="92" t="s">
        <v>4</v>
      </c>
      <c r="C2" s="93" t="s">
        <v>17</v>
      </c>
      <c r="D2" s="195" t="s">
        <v>53</v>
      </c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6"/>
      <c r="CJ2" s="196"/>
      <c r="CK2" s="196"/>
      <c r="CL2" s="196"/>
      <c r="CM2" s="196"/>
      <c r="CN2" s="196"/>
      <c r="CO2" s="197"/>
      <c r="CP2" s="195" t="s">
        <v>54</v>
      </c>
      <c r="CQ2" s="196"/>
      <c r="CR2" s="196"/>
      <c r="CS2" s="196"/>
      <c r="CT2" s="196"/>
      <c r="CU2" s="196"/>
      <c r="CV2" s="196"/>
      <c r="CW2" s="196"/>
      <c r="CX2" s="196"/>
      <c r="CY2" s="196"/>
      <c r="CZ2" s="196"/>
      <c r="DA2" s="196"/>
      <c r="DB2" s="196"/>
      <c r="DC2" s="196"/>
      <c r="DD2" s="196"/>
      <c r="DE2" s="196"/>
      <c r="DF2" s="196"/>
      <c r="DG2" s="196"/>
      <c r="DH2" s="196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  <c r="DU2" s="196"/>
      <c r="DV2" s="196"/>
      <c r="DW2" s="196"/>
      <c r="DX2" s="196"/>
      <c r="DY2" s="196"/>
      <c r="DZ2" s="196"/>
      <c r="EA2" s="196"/>
      <c r="EB2" s="196"/>
      <c r="EC2" s="196"/>
      <c r="ED2" s="196"/>
      <c r="EE2" s="196"/>
      <c r="EF2" s="196"/>
      <c r="EG2" s="196"/>
      <c r="EH2" s="196"/>
      <c r="EI2" s="196"/>
      <c r="EJ2" s="196"/>
      <c r="EK2" s="196"/>
      <c r="EL2" s="196"/>
      <c r="EM2" s="196"/>
      <c r="EN2" s="196"/>
      <c r="EO2" s="196"/>
      <c r="EP2" s="196"/>
      <c r="EQ2" s="196"/>
      <c r="ER2" s="196"/>
      <c r="ES2" s="196"/>
      <c r="ET2" s="196"/>
      <c r="EU2" s="196"/>
      <c r="EV2" s="196"/>
      <c r="EW2" s="196"/>
      <c r="EX2" s="196"/>
      <c r="EY2" s="196"/>
      <c r="EZ2" s="196"/>
      <c r="FA2" s="196"/>
      <c r="FB2" s="196"/>
      <c r="FC2" s="196"/>
      <c r="FD2" s="196"/>
      <c r="FE2" s="196"/>
      <c r="FF2" s="196"/>
      <c r="FG2" s="196"/>
      <c r="FH2" s="196"/>
      <c r="FI2" s="196"/>
      <c r="FJ2" s="196"/>
      <c r="FK2" s="196"/>
      <c r="FL2" s="196"/>
      <c r="FM2" s="196"/>
      <c r="FN2" s="196"/>
      <c r="FO2" s="196"/>
      <c r="FP2" s="196"/>
      <c r="FQ2" s="196"/>
      <c r="FR2" s="196"/>
      <c r="FS2" s="196"/>
      <c r="FT2" s="196"/>
      <c r="FU2" s="196"/>
      <c r="FV2" s="196"/>
      <c r="FW2" s="196"/>
      <c r="FX2" s="196"/>
      <c r="FY2" s="196"/>
      <c r="FZ2" s="196"/>
      <c r="GA2" s="197"/>
      <c r="GB2" s="195" t="s">
        <v>55</v>
      </c>
      <c r="GC2" s="196"/>
      <c r="GD2" s="196"/>
      <c r="GE2" s="196"/>
      <c r="GF2" s="196"/>
      <c r="GG2" s="196"/>
      <c r="GH2" s="196"/>
      <c r="GI2" s="196"/>
      <c r="GJ2" s="196"/>
      <c r="GK2" s="196"/>
      <c r="GL2" s="196"/>
      <c r="GM2" s="196"/>
      <c r="GN2" s="196"/>
      <c r="GO2" s="196"/>
      <c r="GP2" s="196"/>
      <c r="GQ2" s="196"/>
      <c r="GR2" s="196"/>
      <c r="GS2" s="196"/>
      <c r="GT2" s="196"/>
      <c r="GU2" s="196"/>
      <c r="GV2" s="196"/>
      <c r="GW2" s="196"/>
      <c r="GX2" s="196"/>
      <c r="GY2" s="196"/>
      <c r="GZ2" s="196"/>
      <c r="HA2" s="196"/>
      <c r="HB2" s="196"/>
      <c r="HC2" s="196"/>
      <c r="HD2" s="196"/>
      <c r="HE2" s="196"/>
      <c r="HF2" s="196"/>
      <c r="HG2" s="196"/>
      <c r="HH2" s="196"/>
      <c r="HI2" s="196"/>
      <c r="HJ2" s="196"/>
      <c r="HK2" s="196"/>
      <c r="HL2" s="196"/>
      <c r="HM2" s="196"/>
      <c r="HN2" s="196"/>
      <c r="HO2" s="196"/>
      <c r="HP2" s="196"/>
      <c r="HQ2" s="196"/>
      <c r="HR2" s="196"/>
      <c r="HS2" s="196"/>
      <c r="HT2" s="196"/>
      <c r="HU2" s="196"/>
      <c r="HV2" s="196"/>
      <c r="HW2" s="196"/>
      <c r="HX2" s="196"/>
      <c r="HY2" s="196"/>
      <c r="HZ2" s="196"/>
      <c r="IA2" s="196"/>
      <c r="IB2" s="196"/>
      <c r="IC2" s="196"/>
      <c r="ID2" s="196"/>
      <c r="IE2" s="196"/>
      <c r="IF2" s="196"/>
      <c r="IG2" s="196"/>
      <c r="IH2" s="196"/>
      <c r="II2" s="196"/>
      <c r="IJ2" s="196"/>
      <c r="IK2" s="196"/>
      <c r="IL2" s="196"/>
      <c r="IM2" s="196"/>
      <c r="IN2" s="196"/>
      <c r="IO2" s="196"/>
      <c r="IP2" s="196"/>
      <c r="IQ2" s="196"/>
      <c r="IR2" s="196"/>
      <c r="IS2" s="196"/>
      <c r="IT2" s="196"/>
      <c r="IU2" s="196"/>
      <c r="IV2" s="196"/>
      <c r="IW2" s="196"/>
      <c r="IX2" s="196"/>
      <c r="IY2" s="196"/>
      <c r="IZ2" s="196"/>
      <c r="JA2" s="196"/>
      <c r="JB2" s="196"/>
      <c r="JC2" s="196"/>
      <c r="JD2" s="196"/>
      <c r="JE2" s="196"/>
      <c r="JF2" s="196"/>
      <c r="JG2" s="196"/>
      <c r="JH2" s="196"/>
      <c r="JI2" s="196"/>
      <c r="JJ2" s="196"/>
      <c r="JK2" s="196"/>
      <c r="JL2" s="196"/>
      <c r="JM2" s="197"/>
      <c r="JN2" s="195" t="s">
        <v>56</v>
      </c>
      <c r="JO2" s="196"/>
      <c r="JP2" s="196"/>
      <c r="JQ2" s="196"/>
      <c r="JR2" s="196"/>
      <c r="JS2" s="196"/>
      <c r="JT2" s="196"/>
      <c r="JU2" s="196"/>
      <c r="JV2" s="196"/>
      <c r="JW2" s="196"/>
      <c r="JX2" s="196"/>
      <c r="JY2" s="196"/>
      <c r="JZ2" s="196"/>
      <c r="KA2" s="196"/>
      <c r="KB2" s="196"/>
      <c r="KC2" s="196"/>
      <c r="KD2" s="196"/>
      <c r="KE2" s="196"/>
      <c r="KF2" s="196"/>
      <c r="KG2" s="196"/>
      <c r="KH2" s="196"/>
      <c r="KI2" s="196"/>
      <c r="KJ2" s="196"/>
      <c r="KK2" s="196"/>
      <c r="KL2" s="196"/>
      <c r="KM2" s="196"/>
      <c r="KN2" s="196"/>
      <c r="KO2" s="196"/>
      <c r="KP2" s="196"/>
      <c r="KQ2" s="196"/>
      <c r="KR2" s="196"/>
      <c r="KS2" s="196"/>
      <c r="KT2" s="196"/>
      <c r="KU2" s="196"/>
      <c r="KV2" s="196"/>
      <c r="KW2" s="196"/>
      <c r="KX2" s="196"/>
      <c r="KY2" s="196"/>
      <c r="KZ2" s="196"/>
      <c r="LA2" s="196"/>
      <c r="LB2" s="196"/>
      <c r="LC2" s="196"/>
      <c r="LD2" s="196"/>
      <c r="LE2" s="196"/>
      <c r="LF2" s="196"/>
      <c r="LG2" s="196"/>
      <c r="LH2" s="196"/>
      <c r="LI2" s="196"/>
      <c r="LJ2" s="196"/>
      <c r="LK2" s="196"/>
      <c r="LL2" s="196"/>
      <c r="LM2" s="196"/>
      <c r="LN2" s="196"/>
      <c r="LO2" s="196"/>
      <c r="LP2" s="196"/>
      <c r="LQ2" s="196"/>
      <c r="LR2" s="196"/>
      <c r="LS2" s="196"/>
      <c r="LT2" s="196"/>
      <c r="LU2" s="196"/>
      <c r="LV2" s="196"/>
      <c r="LW2" s="196"/>
      <c r="LX2" s="196"/>
      <c r="LY2" s="196"/>
      <c r="LZ2" s="196"/>
      <c r="MA2" s="196"/>
      <c r="MB2" s="196"/>
      <c r="MC2" s="196"/>
      <c r="MD2" s="196"/>
      <c r="ME2" s="196"/>
      <c r="MF2" s="196"/>
      <c r="MG2" s="196"/>
      <c r="MH2" s="196"/>
      <c r="MI2" s="196"/>
      <c r="MJ2" s="196"/>
      <c r="MK2" s="196"/>
      <c r="ML2" s="196"/>
      <c r="MM2" s="196"/>
      <c r="MN2" s="196"/>
      <c r="MO2" s="196"/>
      <c r="MP2" s="196"/>
      <c r="MQ2" s="196"/>
      <c r="MR2" s="196"/>
      <c r="MS2" s="196"/>
      <c r="MT2" s="196"/>
      <c r="MU2" s="196"/>
      <c r="MV2" s="196"/>
      <c r="MW2" s="196"/>
      <c r="MX2" s="196"/>
      <c r="MY2" s="197"/>
      <c r="MZ2" s="195" t="s">
        <v>57</v>
      </c>
      <c r="NA2" s="196"/>
      <c r="NB2" s="196"/>
      <c r="NC2" s="196"/>
      <c r="ND2" s="196"/>
      <c r="NE2" s="196"/>
      <c r="NF2" s="196"/>
      <c r="NG2" s="196"/>
      <c r="NH2" s="196"/>
      <c r="NI2" s="196"/>
      <c r="NJ2" s="196"/>
      <c r="NK2" s="196"/>
      <c r="NL2" s="196"/>
      <c r="NM2" s="196"/>
      <c r="NN2" s="196"/>
      <c r="NO2" s="196"/>
      <c r="NP2" s="196"/>
      <c r="NQ2" s="196"/>
      <c r="NR2" s="196"/>
      <c r="NS2" s="196"/>
      <c r="NT2" s="196"/>
      <c r="NU2" s="196"/>
      <c r="NV2" s="196"/>
      <c r="NW2" s="196"/>
      <c r="NX2" s="196"/>
      <c r="NY2" s="196"/>
      <c r="NZ2" s="196"/>
      <c r="OA2" s="196"/>
      <c r="OB2" s="196"/>
      <c r="OC2" s="196"/>
      <c r="OD2" s="196"/>
      <c r="OE2" s="196"/>
      <c r="OF2" s="196"/>
      <c r="OG2" s="196"/>
      <c r="OH2" s="196"/>
      <c r="OI2" s="196"/>
      <c r="OJ2" s="196"/>
      <c r="OK2" s="196"/>
      <c r="OL2" s="196"/>
      <c r="OM2" s="196"/>
      <c r="ON2" s="196"/>
      <c r="OO2" s="196"/>
      <c r="OP2" s="196"/>
      <c r="OQ2" s="196"/>
      <c r="OR2" s="196"/>
      <c r="OS2" s="196"/>
      <c r="OT2" s="196"/>
      <c r="OU2" s="196"/>
      <c r="OV2" s="196"/>
      <c r="OW2" s="196"/>
      <c r="OX2" s="196"/>
      <c r="OY2" s="196"/>
      <c r="OZ2" s="196"/>
      <c r="PA2" s="196"/>
      <c r="PB2" s="196"/>
      <c r="PC2" s="196"/>
      <c r="PD2" s="196"/>
      <c r="PE2" s="196"/>
      <c r="PF2" s="196"/>
      <c r="PG2" s="196"/>
      <c r="PH2" s="196"/>
      <c r="PI2" s="196"/>
      <c r="PJ2" s="196"/>
      <c r="PK2" s="196"/>
      <c r="PL2" s="196"/>
      <c r="PM2" s="196"/>
      <c r="PN2" s="196"/>
      <c r="PO2" s="196"/>
      <c r="PP2" s="196"/>
      <c r="PQ2" s="196"/>
      <c r="PR2" s="196"/>
      <c r="PS2" s="196"/>
      <c r="PT2" s="196"/>
      <c r="PU2" s="196"/>
      <c r="PV2" s="196"/>
      <c r="PW2" s="196"/>
      <c r="PX2" s="196"/>
      <c r="PY2" s="196"/>
      <c r="PZ2" s="196"/>
      <c r="QA2" s="196"/>
      <c r="QB2" s="196"/>
      <c r="QC2" s="196"/>
      <c r="QD2" s="196"/>
      <c r="QE2" s="196"/>
      <c r="QF2" s="196"/>
      <c r="QG2" s="196"/>
      <c r="QH2" s="196"/>
      <c r="QI2" s="196"/>
      <c r="QJ2" s="196"/>
      <c r="QK2" s="197"/>
      <c r="QL2" s="195" t="s">
        <v>58</v>
      </c>
      <c r="QM2" s="196"/>
      <c r="QN2" s="196"/>
      <c r="QO2" s="196"/>
      <c r="QP2" s="196"/>
      <c r="QQ2" s="196"/>
      <c r="QR2" s="196"/>
      <c r="QS2" s="196"/>
      <c r="QT2" s="196"/>
      <c r="QU2" s="196"/>
      <c r="QV2" s="196"/>
      <c r="QW2" s="196"/>
      <c r="QX2" s="196"/>
      <c r="QY2" s="196"/>
      <c r="QZ2" s="196"/>
      <c r="RA2" s="196"/>
      <c r="RB2" s="196"/>
      <c r="RC2" s="196"/>
      <c r="RD2" s="196"/>
      <c r="RE2" s="196"/>
      <c r="RF2" s="196"/>
      <c r="RG2" s="196"/>
      <c r="RH2" s="196"/>
      <c r="RI2" s="196"/>
      <c r="RJ2" s="196"/>
      <c r="RK2" s="196"/>
      <c r="RL2" s="196"/>
      <c r="RM2" s="196"/>
      <c r="RN2" s="196"/>
      <c r="RO2" s="196"/>
      <c r="RP2" s="196"/>
      <c r="RQ2" s="196"/>
      <c r="RR2" s="196"/>
      <c r="RS2" s="196"/>
      <c r="RT2" s="196"/>
      <c r="RU2" s="196"/>
      <c r="RV2" s="196"/>
      <c r="RW2" s="196"/>
      <c r="RX2" s="196"/>
      <c r="RY2" s="196"/>
      <c r="RZ2" s="196"/>
      <c r="SA2" s="196"/>
      <c r="SB2" s="196"/>
      <c r="SC2" s="196"/>
      <c r="SD2" s="196"/>
      <c r="SE2" s="196"/>
      <c r="SF2" s="196"/>
      <c r="SG2" s="196"/>
      <c r="SH2" s="196"/>
      <c r="SI2" s="196"/>
      <c r="SJ2" s="196"/>
      <c r="SK2" s="196"/>
      <c r="SL2" s="196"/>
      <c r="SM2" s="196"/>
      <c r="SN2" s="196"/>
      <c r="SO2" s="196"/>
      <c r="SP2" s="196"/>
      <c r="SQ2" s="196"/>
      <c r="SR2" s="196"/>
      <c r="SS2" s="196"/>
      <c r="ST2" s="196"/>
      <c r="SU2" s="196"/>
      <c r="SV2" s="196"/>
      <c r="SW2" s="196"/>
      <c r="SX2" s="196"/>
      <c r="SY2" s="196"/>
      <c r="SZ2" s="196"/>
      <c r="TA2" s="196"/>
      <c r="TB2" s="196"/>
      <c r="TC2" s="196"/>
      <c r="TD2" s="196"/>
      <c r="TE2" s="196"/>
      <c r="TF2" s="196"/>
      <c r="TG2" s="196"/>
      <c r="TH2" s="196"/>
      <c r="TI2" s="196"/>
      <c r="TJ2" s="196"/>
      <c r="TK2" s="196"/>
      <c r="TL2" s="196"/>
      <c r="TM2" s="196"/>
      <c r="TN2" s="196"/>
      <c r="TO2" s="196"/>
      <c r="TP2" s="196"/>
      <c r="TQ2" s="196"/>
      <c r="TR2" s="196"/>
      <c r="TS2" s="196"/>
      <c r="TT2" s="196"/>
      <c r="TU2" s="196"/>
      <c r="TV2" s="196"/>
      <c r="TW2" s="197"/>
      <c r="TX2" s="195" t="s">
        <v>59</v>
      </c>
      <c r="TY2" s="196"/>
      <c r="TZ2" s="196"/>
      <c r="UA2" s="196"/>
      <c r="UB2" s="196"/>
      <c r="UC2" s="196"/>
      <c r="UD2" s="196"/>
      <c r="UE2" s="196"/>
      <c r="UF2" s="196"/>
      <c r="UG2" s="196"/>
      <c r="UH2" s="196"/>
      <c r="UI2" s="196"/>
      <c r="UJ2" s="196"/>
      <c r="UK2" s="196"/>
      <c r="UL2" s="196"/>
      <c r="UM2" s="196"/>
      <c r="UN2" s="196"/>
      <c r="UO2" s="196"/>
      <c r="UP2" s="196"/>
      <c r="UQ2" s="196"/>
      <c r="UR2" s="196"/>
      <c r="US2" s="196"/>
      <c r="UT2" s="196"/>
      <c r="UU2" s="196"/>
      <c r="UV2" s="196"/>
      <c r="UW2" s="196"/>
      <c r="UX2" s="196"/>
      <c r="UY2" s="196"/>
      <c r="UZ2" s="196"/>
      <c r="VA2" s="196"/>
      <c r="VB2" s="196"/>
      <c r="VC2" s="196"/>
      <c r="VD2" s="196"/>
      <c r="VE2" s="196"/>
      <c r="VF2" s="196"/>
      <c r="VG2" s="196"/>
      <c r="VH2" s="196"/>
      <c r="VI2" s="196"/>
      <c r="VJ2" s="196"/>
      <c r="VK2" s="196"/>
      <c r="VL2" s="196"/>
      <c r="VM2" s="196"/>
      <c r="VN2" s="196"/>
      <c r="VO2" s="196"/>
      <c r="VP2" s="196"/>
      <c r="VQ2" s="196"/>
      <c r="VR2" s="196"/>
      <c r="VS2" s="196"/>
      <c r="VT2" s="196"/>
      <c r="VU2" s="196"/>
      <c r="VV2" s="196"/>
      <c r="VW2" s="196"/>
      <c r="VX2" s="196"/>
      <c r="VY2" s="196"/>
      <c r="VZ2" s="196"/>
      <c r="WA2" s="196"/>
      <c r="WB2" s="196"/>
      <c r="WC2" s="196"/>
      <c r="WD2" s="196"/>
      <c r="WE2" s="196"/>
      <c r="WF2" s="196"/>
      <c r="WG2" s="196"/>
      <c r="WH2" s="196"/>
      <c r="WI2" s="196"/>
      <c r="WJ2" s="196"/>
      <c r="WK2" s="196"/>
      <c r="WL2" s="196"/>
      <c r="WM2" s="196"/>
      <c r="WN2" s="196"/>
      <c r="WO2" s="196"/>
      <c r="WP2" s="196"/>
      <c r="WQ2" s="196"/>
      <c r="WR2" s="196"/>
      <c r="WS2" s="196"/>
      <c r="WT2" s="196"/>
      <c r="WU2" s="196"/>
      <c r="WV2" s="196"/>
      <c r="WW2" s="196"/>
      <c r="WX2" s="196"/>
      <c r="WY2" s="196"/>
      <c r="WZ2" s="196"/>
      <c r="XA2" s="196"/>
      <c r="XB2" s="196"/>
      <c r="XC2" s="196"/>
      <c r="XD2" s="196"/>
      <c r="XE2" s="196"/>
      <c r="XF2" s="196"/>
      <c r="XG2" s="196"/>
      <c r="XH2" s="196"/>
      <c r="XI2" s="197"/>
      <c r="XJ2" s="195" t="s">
        <v>60</v>
      </c>
      <c r="XK2" s="196"/>
      <c r="XL2" s="196"/>
      <c r="XM2" s="196"/>
      <c r="XN2" s="196"/>
      <c r="XO2" s="196"/>
      <c r="XP2" s="196"/>
      <c r="XQ2" s="196"/>
      <c r="XR2" s="196"/>
      <c r="XS2" s="196"/>
      <c r="XT2" s="196"/>
      <c r="XU2" s="196"/>
      <c r="XV2" s="196"/>
      <c r="XW2" s="196"/>
      <c r="XX2" s="196"/>
      <c r="XY2" s="196"/>
      <c r="XZ2" s="196"/>
      <c r="YA2" s="196"/>
      <c r="YB2" s="196"/>
      <c r="YC2" s="196"/>
      <c r="YD2" s="196"/>
      <c r="YE2" s="196"/>
      <c r="YF2" s="196"/>
      <c r="YG2" s="196"/>
      <c r="YH2" s="196"/>
      <c r="YI2" s="196"/>
      <c r="YJ2" s="196"/>
      <c r="YK2" s="196"/>
      <c r="YL2" s="196"/>
      <c r="YM2" s="196"/>
      <c r="YN2" s="196"/>
      <c r="YO2" s="196"/>
      <c r="YP2" s="196"/>
      <c r="YQ2" s="196"/>
      <c r="YR2" s="196"/>
      <c r="YS2" s="196"/>
      <c r="YT2" s="196"/>
      <c r="YU2" s="196"/>
      <c r="YV2" s="196"/>
      <c r="YW2" s="196"/>
      <c r="YX2" s="196"/>
      <c r="YY2" s="196"/>
      <c r="YZ2" s="196"/>
      <c r="ZA2" s="196"/>
      <c r="ZB2" s="196"/>
      <c r="ZC2" s="196"/>
      <c r="ZD2" s="196"/>
      <c r="ZE2" s="196"/>
      <c r="ZF2" s="196"/>
      <c r="ZG2" s="196"/>
      <c r="ZH2" s="196"/>
      <c r="ZI2" s="196"/>
      <c r="ZJ2" s="196"/>
      <c r="ZK2" s="196"/>
      <c r="ZL2" s="196"/>
      <c r="ZM2" s="196"/>
      <c r="ZN2" s="196"/>
      <c r="ZO2" s="196"/>
      <c r="ZP2" s="196"/>
      <c r="ZQ2" s="196"/>
      <c r="ZR2" s="196"/>
      <c r="ZS2" s="196"/>
      <c r="ZT2" s="196"/>
      <c r="ZU2" s="196"/>
      <c r="ZV2" s="196"/>
      <c r="ZW2" s="196"/>
      <c r="ZX2" s="196"/>
      <c r="ZY2" s="196"/>
      <c r="ZZ2" s="196"/>
      <c r="AAA2" s="196"/>
      <c r="AAB2" s="196"/>
      <c r="AAC2" s="196"/>
      <c r="AAD2" s="196"/>
      <c r="AAE2" s="196"/>
      <c r="AAF2" s="196"/>
      <c r="AAG2" s="196"/>
      <c r="AAH2" s="196"/>
      <c r="AAI2" s="196"/>
      <c r="AAJ2" s="196"/>
      <c r="AAK2" s="196"/>
      <c r="AAL2" s="196"/>
      <c r="AAM2" s="196"/>
      <c r="AAN2" s="196"/>
      <c r="AAO2" s="196"/>
      <c r="AAP2" s="196"/>
      <c r="AAQ2" s="196"/>
      <c r="AAR2" s="196"/>
      <c r="AAS2" s="196"/>
      <c r="AAT2" s="196"/>
      <c r="AAU2" s="197"/>
      <c r="AAV2" s="195" t="s">
        <v>61</v>
      </c>
      <c r="AAW2" s="196"/>
      <c r="AAX2" s="196"/>
      <c r="AAY2" s="196"/>
      <c r="AAZ2" s="196"/>
      <c r="ABA2" s="196"/>
      <c r="ABB2" s="196"/>
      <c r="ABC2" s="196"/>
      <c r="ABD2" s="196"/>
      <c r="ABE2" s="196"/>
      <c r="ABF2" s="196"/>
      <c r="ABG2" s="196"/>
      <c r="ABH2" s="196"/>
      <c r="ABI2" s="196"/>
      <c r="ABJ2" s="196"/>
      <c r="ABK2" s="196"/>
      <c r="ABL2" s="196"/>
      <c r="ABM2" s="196"/>
      <c r="ABN2" s="196"/>
      <c r="ABO2" s="196"/>
      <c r="ABP2" s="196"/>
      <c r="ABQ2" s="196"/>
      <c r="ABR2" s="196"/>
      <c r="ABS2" s="196"/>
      <c r="ABT2" s="196"/>
      <c r="ABU2" s="196"/>
      <c r="ABV2" s="196"/>
      <c r="ABW2" s="196"/>
      <c r="ABX2" s="196"/>
      <c r="ABY2" s="196"/>
      <c r="ABZ2" s="196"/>
      <c r="ACA2" s="196"/>
      <c r="ACB2" s="196"/>
      <c r="ACC2" s="196"/>
      <c r="ACD2" s="196"/>
      <c r="ACE2" s="196"/>
      <c r="ACF2" s="196"/>
      <c r="ACG2" s="196"/>
      <c r="ACH2" s="196"/>
      <c r="ACI2" s="196"/>
      <c r="ACJ2" s="196"/>
      <c r="ACK2" s="196"/>
      <c r="ACL2" s="196"/>
      <c r="ACM2" s="196"/>
      <c r="ACN2" s="196"/>
      <c r="ACO2" s="196"/>
      <c r="ACP2" s="196"/>
      <c r="ACQ2" s="196"/>
      <c r="ACR2" s="196"/>
      <c r="ACS2" s="196"/>
      <c r="ACT2" s="196"/>
      <c r="ACU2" s="196"/>
      <c r="ACV2" s="196"/>
      <c r="ACW2" s="196"/>
      <c r="ACX2" s="196"/>
      <c r="ACY2" s="196"/>
      <c r="ACZ2" s="196"/>
      <c r="ADA2" s="196"/>
      <c r="ADB2" s="196"/>
      <c r="ADC2" s="196"/>
      <c r="ADD2" s="196"/>
      <c r="ADE2" s="196"/>
      <c r="ADF2" s="196"/>
      <c r="ADG2" s="196"/>
      <c r="ADH2" s="196"/>
      <c r="ADI2" s="196"/>
      <c r="ADJ2" s="196"/>
      <c r="ADK2" s="196"/>
      <c r="ADL2" s="196"/>
      <c r="ADM2" s="196"/>
      <c r="ADN2" s="196"/>
      <c r="ADO2" s="196"/>
      <c r="ADP2" s="196"/>
      <c r="ADQ2" s="196"/>
      <c r="ADR2" s="196"/>
      <c r="ADS2" s="196"/>
      <c r="ADT2" s="196"/>
      <c r="ADU2" s="196"/>
      <c r="ADV2" s="196"/>
      <c r="ADW2" s="196"/>
      <c r="ADX2" s="196"/>
      <c r="ADY2" s="196"/>
      <c r="ADZ2" s="196"/>
      <c r="AEA2" s="196"/>
      <c r="AEB2" s="196"/>
      <c r="AEC2" s="196"/>
      <c r="AED2" s="196"/>
      <c r="AEE2" s="196"/>
      <c r="AEF2" s="196"/>
      <c r="AEG2" s="197"/>
    </row>
    <row r="3" spans="1:813" ht="19.5" customHeight="1" x14ac:dyDescent="0.25">
      <c r="A3" s="91"/>
      <c r="B3" s="192" t="s">
        <v>20</v>
      </c>
      <c r="C3" s="94">
        <v>16</v>
      </c>
      <c r="D3" s="152"/>
      <c r="E3" s="153"/>
      <c r="F3" s="154"/>
      <c r="G3" s="155"/>
      <c r="H3" s="153"/>
      <c r="I3" s="154"/>
      <c r="J3" s="155"/>
      <c r="K3" s="153"/>
      <c r="L3" s="154"/>
      <c r="M3" s="155"/>
      <c r="N3" s="153"/>
      <c r="O3" s="154"/>
      <c r="P3" s="155"/>
      <c r="Q3" s="153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154"/>
      <c r="DW3" s="155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9"/>
      <c r="GB3" s="95"/>
      <c r="GC3" s="96"/>
      <c r="GD3" s="97"/>
      <c r="GE3" s="98"/>
      <c r="GF3" s="96"/>
      <c r="GG3" s="97"/>
      <c r="GH3" s="98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9"/>
      <c r="JN3" s="95"/>
      <c r="JO3" s="96"/>
      <c r="JP3" s="97"/>
      <c r="JQ3" s="98"/>
      <c r="JR3" s="96"/>
      <c r="JS3" s="97"/>
      <c r="JT3" s="98"/>
      <c r="JU3" s="96"/>
      <c r="JV3" s="97"/>
      <c r="JW3" s="98"/>
      <c r="JX3" s="96"/>
      <c r="JY3" s="97"/>
      <c r="JZ3" s="98"/>
      <c r="KA3" s="96"/>
      <c r="KB3" s="97"/>
      <c r="KC3" s="98"/>
      <c r="KD3" s="96"/>
      <c r="KE3" s="97"/>
      <c r="KF3" s="98"/>
      <c r="KG3" s="96"/>
      <c r="KH3" s="97"/>
      <c r="KI3" s="98"/>
      <c r="KJ3" s="96"/>
      <c r="KK3" s="97"/>
      <c r="KL3" s="98"/>
      <c r="KM3" s="96"/>
      <c r="KN3" s="97"/>
      <c r="KO3" s="98"/>
      <c r="KP3" s="96"/>
      <c r="KQ3" s="97"/>
      <c r="KR3" s="98"/>
      <c r="KS3" s="96"/>
      <c r="KT3" s="97"/>
      <c r="KU3" s="98"/>
      <c r="KV3" s="96"/>
      <c r="KW3" s="97"/>
      <c r="KX3" s="98"/>
      <c r="KY3" s="96"/>
      <c r="KZ3" s="97"/>
      <c r="LA3" s="98"/>
      <c r="LB3" s="96"/>
      <c r="LC3" s="97"/>
      <c r="LD3" s="98"/>
      <c r="LE3" s="96"/>
      <c r="LF3" s="97"/>
      <c r="LG3" s="98"/>
      <c r="LH3" s="96"/>
      <c r="LI3" s="97"/>
      <c r="LJ3" s="98"/>
      <c r="LK3" s="96"/>
      <c r="LL3" s="97"/>
      <c r="LM3" s="98"/>
      <c r="LN3" s="96"/>
      <c r="LO3" s="97"/>
      <c r="LP3" s="98"/>
      <c r="LQ3" s="96"/>
      <c r="LR3" s="97"/>
      <c r="LS3" s="98"/>
      <c r="LT3" s="96"/>
      <c r="LU3" s="97"/>
      <c r="LV3" s="98"/>
      <c r="LW3" s="96"/>
      <c r="LX3" s="97"/>
      <c r="LY3" s="98"/>
      <c r="LZ3" s="96"/>
      <c r="MA3" s="97"/>
      <c r="MB3" s="98"/>
      <c r="MC3" s="96"/>
      <c r="MD3" s="97"/>
      <c r="ME3" s="98"/>
      <c r="MF3" s="96"/>
      <c r="MG3" s="97"/>
      <c r="MH3" s="98"/>
      <c r="MI3" s="96"/>
      <c r="MJ3" s="97"/>
      <c r="MK3" s="98"/>
      <c r="ML3" s="96"/>
      <c r="MM3" s="97"/>
      <c r="MN3" s="98"/>
      <c r="MO3" s="96"/>
      <c r="MP3" s="97"/>
      <c r="MQ3" s="98"/>
      <c r="MR3" s="96"/>
      <c r="MS3" s="97"/>
      <c r="MT3" s="98"/>
      <c r="MU3" s="96"/>
      <c r="MV3" s="97"/>
      <c r="MW3" s="98"/>
      <c r="MX3" s="96"/>
      <c r="MY3" s="99"/>
      <c r="MZ3" s="95"/>
      <c r="NA3" s="96"/>
      <c r="NB3" s="97"/>
      <c r="NC3" s="98"/>
      <c r="ND3" s="96"/>
      <c r="NE3" s="97"/>
      <c r="NF3" s="98"/>
      <c r="NG3" s="96"/>
      <c r="NH3" s="97"/>
      <c r="NI3" s="98"/>
      <c r="NJ3" s="96"/>
      <c r="NK3" s="97"/>
      <c r="NL3" s="98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9"/>
      <c r="QL3" s="95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7"/>
      <c r="RA3" s="98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96"/>
      <c r="RX3" s="97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9"/>
      <c r="TX3" s="95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7"/>
      <c r="UP3" s="98"/>
      <c r="UQ3" s="96"/>
      <c r="UR3" s="97"/>
      <c r="US3" s="98"/>
      <c r="UT3" s="96"/>
      <c r="UU3" s="97"/>
      <c r="UV3" s="98"/>
      <c r="UW3" s="96"/>
      <c r="UX3" s="97"/>
      <c r="UY3" s="98"/>
      <c r="UZ3" s="96"/>
      <c r="VA3" s="97"/>
      <c r="VB3" s="98"/>
      <c r="VC3" s="96"/>
      <c r="VD3" s="97"/>
      <c r="VE3" s="98"/>
      <c r="VF3" s="96"/>
      <c r="VG3" s="97"/>
      <c r="VH3" s="98"/>
      <c r="VI3" s="96"/>
      <c r="VJ3" s="97"/>
      <c r="VK3" s="98"/>
      <c r="VL3" s="96"/>
      <c r="VM3" s="97"/>
      <c r="VN3" s="98"/>
      <c r="VO3" s="96"/>
      <c r="VP3" s="97"/>
      <c r="VQ3" s="98"/>
      <c r="VR3" s="96"/>
      <c r="VS3" s="97"/>
      <c r="VT3" s="98"/>
      <c r="VU3" s="96"/>
      <c r="VV3" s="97"/>
      <c r="VW3" s="98"/>
      <c r="VX3" s="96"/>
      <c r="VY3" s="97"/>
      <c r="VZ3" s="98"/>
      <c r="WA3" s="96"/>
      <c r="WB3" s="97"/>
      <c r="WC3" s="98"/>
      <c r="WD3" s="96"/>
      <c r="WE3" s="97"/>
      <c r="WF3" s="98"/>
      <c r="WG3" s="96"/>
      <c r="WH3" s="97"/>
      <c r="WI3" s="98"/>
      <c r="WJ3" s="96"/>
      <c r="WK3" s="97"/>
      <c r="WL3" s="98"/>
      <c r="WM3" s="96"/>
      <c r="WN3" s="97"/>
      <c r="WO3" s="98"/>
      <c r="WP3" s="96"/>
      <c r="WQ3" s="97"/>
      <c r="WR3" s="98"/>
      <c r="WS3" s="96"/>
      <c r="WT3" s="97"/>
      <c r="WU3" s="98"/>
      <c r="WV3" s="96"/>
      <c r="WW3" s="97"/>
      <c r="WX3" s="98"/>
      <c r="WY3" s="96"/>
      <c r="WZ3" s="97"/>
      <c r="XA3" s="98"/>
      <c r="XB3" s="96"/>
      <c r="XC3" s="97"/>
      <c r="XD3" s="98"/>
      <c r="XE3" s="96"/>
      <c r="XF3" s="97"/>
      <c r="XG3" s="98"/>
      <c r="XH3" s="96"/>
      <c r="XI3" s="99"/>
      <c r="XJ3" s="95"/>
      <c r="XK3" s="96"/>
      <c r="XL3" s="97"/>
      <c r="XM3" s="98"/>
      <c r="XN3" s="96"/>
      <c r="XO3" s="97"/>
      <c r="XP3" s="98"/>
      <c r="XQ3" s="96"/>
      <c r="XR3" s="97"/>
      <c r="XS3" s="98"/>
      <c r="XT3" s="96"/>
      <c r="XU3" s="97"/>
      <c r="XV3" s="98"/>
      <c r="XW3" s="96"/>
      <c r="XX3" s="97"/>
      <c r="XY3" s="98"/>
      <c r="XZ3" s="96"/>
      <c r="YA3" s="97"/>
      <c r="YB3" s="98"/>
      <c r="YC3" s="96"/>
      <c r="YD3" s="97"/>
      <c r="YE3" s="98"/>
      <c r="YF3" s="96"/>
      <c r="YG3" s="97"/>
      <c r="YH3" s="98"/>
      <c r="YI3" s="96"/>
      <c r="YJ3" s="97"/>
      <c r="YK3" s="98"/>
      <c r="YL3" s="96"/>
      <c r="YM3" s="97"/>
      <c r="YN3" s="98"/>
      <c r="YO3" s="96"/>
      <c r="YP3" s="97"/>
      <c r="YQ3" s="98"/>
      <c r="YR3" s="96"/>
      <c r="YS3" s="97"/>
      <c r="YT3" s="98"/>
      <c r="YU3" s="96"/>
      <c r="YV3" s="97"/>
      <c r="YW3" s="98"/>
      <c r="YX3" s="96"/>
      <c r="YY3" s="97"/>
      <c r="YZ3" s="98"/>
      <c r="ZA3" s="96"/>
      <c r="ZB3" s="97"/>
      <c r="ZC3" s="98"/>
      <c r="ZD3" s="96"/>
      <c r="ZE3" s="97"/>
      <c r="ZF3" s="98"/>
      <c r="ZG3" s="96"/>
      <c r="ZH3" s="97"/>
      <c r="ZI3" s="98"/>
      <c r="ZJ3" s="96"/>
      <c r="ZK3" s="97"/>
      <c r="ZL3" s="98"/>
      <c r="ZM3" s="96"/>
      <c r="ZN3" s="97"/>
      <c r="ZO3" s="98"/>
      <c r="ZP3" s="96"/>
      <c r="ZQ3" s="97"/>
      <c r="ZR3" s="98"/>
      <c r="ZS3" s="96"/>
      <c r="ZT3" s="97"/>
      <c r="ZU3" s="98"/>
      <c r="ZV3" s="96"/>
      <c r="ZW3" s="97"/>
      <c r="ZX3" s="98"/>
      <c r="ZY3" s="96"/>
      <c r="ZZ3" s="97"/>
      <c r="AAA3" s="98"/>
      <c r="AAB3" s="96"/>
      <c r="AAC3" s="97"/>
      <c r="AAD3" s="98"/>
      <c r="AAE3" s="96"/>
      <c r="AAF3" s="97"/>
      <c r="AAG3" s="98"/>
      <c r="AAH3" s="96"/>
      <c r="AAI3" s="97"/>
      <c r="AAJ3" s="98"/>
      <c r="AAK3" s="96"/>
      <c r="AAL3" s="97"/>
      <c r="AAM3" s="98"/>
      <c r="AAN3" s="96"/>
      <c r="AAO3" s="97"/>
      <c r="AAP3" s="98"/>
      <c r="AAQ3" s="96"/>
      <c r="AAR3" s="97"/>
      <c r="AAS3" s="98"/>
      <c r="AAT3" s="96"/>
      <c r="AAU3" s="99"/>
      <c r="AAV3" s="95"/>
      <c r="AAW3" s="96"/>
      <c r="AAX3" s="97"/>
      <c r="AAY3" s="98"/>
      <c r="AAZ3" s="96"/>
      <c r="ABA3" s="97"/>
      <c r="ABB3" s="98"/>
      <c r="ABC3" s="96"/>
      <c r="ABD3" s="97"/>
      <c r="ABE3" s="98"/>
      <c r="ABF3" s="96"/>
      <c r="ABG3" s="97"/>
      <c r="ABH3" s="98"/>
      <c r="ABI3" s="96"/>
      <c r="ABJ3" s="97"/>
      <c r="ABK3" s="98"/>
      <c r="ABL3" s="96"/>
      <c r="ABM3" s="97"/>
      <c r="ABN3" s="98"/>
      <c r="ABO3" s="96"/>
      <c r="ABP3" s="97"/>
      <c r="ABQ3" s="98"/>
      <c r="ABR3" s="96"/>
      <c r="ABS3" s="97"/>
      <c r="ABT3" s="98"/>
      <c r="ABU3" s="96"/>
      <c r="ABV3" s="97"/>
      <c r="ABW3" s="98"/>
      <c r="ABX3" s="96"/>
      <c r="ABY3" s="97"/>
      <c r="ABZ3" s="98"/>
      <c r="ACA3" s="96"/>
      <c r="ACB3" s="97"/>
      <c r="ACC3" s="98"/>
      <c r="ACD3" s="96"/>
      <c r="ACE3" s="97"/>
      <c r="ACF3" s="98"/>
      <c r="ACG3" s="96"/>
      <c r="ACH3" s="97"/>
      <c r="ACI3" s="98"/>
      <c r="ACJ3" s="96"/>
      <c r="ACK3" s="97"/>
      <c r="ACL3" s="98"/>
      <c r="ACM3" s="96"/>
      <c r="ACN3" s="97"/>
      <c r="ACO3" s="98"/>
      <c r="ACP3" s="96"/>
      <c r="ACQ3" s="97"/>
      <c r="ACR3" s="98"/>
      <c r="ACS3" s="96"/>
      <c r="ACT3" s="97"/>
      <c r="ACU3" s="98"/>
      <c r="ACV3" s="96"/>
      <c r="ACW3" s="97"/>
      <c r="ACX3" s="98"/>
      <c r="ACY3" s="96"/>
      <c r="ACZ3" s="97"/>
      <c r="ADA3" s="98"/>
      <c r="ADB3" s="96"/>
      <c r="ADC3" s="97"/>
      <c r="ADD3" s="98"/>
      <c r="ADE3" s="96"/>
      <c r="ADF3" s="97"/>
      <c r="ADG3" s="98"/>
      <c r="ADH3" s="96"/>
      <c r="ADI3" s="97"/>
      <c r="ADJ3" s="98"/>
      <c r="ADK3" s="96"/>
      <c r="ADL3" s="97"/>
      <c r="ADM3" s="98"/>
      <c r="ADN3" s="96"/>
      <c r="ADO3" s="97"/>
      <c r="ADP3" s="98"/>
      <c r="ADQ3" s="96"/>
      <c r="ADR3" s="97"/>
      <c r="ADS3" s="98"/>
      <c r="ADT3" s="96"/>
      <c r="ADU3" s="97"/>
      <c r="ADV3" s="98"/>
      <c r="ADW3" s="96"/>
      <c r="ADX3" s="97"/>
      <c r="ADY3" s="98"/>
      <c r="ADZ3" s="96"/>
      <c r="AEA3" s="97"/>
      <c r="AEB3" s="98"/>
      <c r="AEC3" s="96"/>
      <c r="AED3" s="97"/>
      <c r="AEE3" s="98"/>
      <c r="AEF3" s="96"/>
      <c r="AEG3" s="99"/>
    </row>
    <row r="4" spans="1:813" ht="19.5" customHeight="1" thickBot="1" x14ac:dyDescent="0.3">
      <c r="A4" s="91"/>
      <c r="B4" s="193"/>
      <c r="C4" s="100">
        <v>27</v>
      </c>
      <c r="D4" s="148"/>
      <c r="E4" s="149"/>
      <c r="F4" s="150"/>
      <c r="G4" s="151"/>
      <c r="H4" s="149"/>
      <c r="I4" s="150"/>
      <c r="J4" s="151"/>
      <c r="K4" s="149"/>
      <c r="L4" s="150"/>
      <c r="M4" s="151"/>
      <c r="N4" s="149"/>
      <c r="O4" s="150"/>
      <c r="P4" s="151"/>
      <c r="Q4" s="149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51"/>
      <c r="AX4" s="149"/>
      <c r="AY4" s="150"/>
      <c r="AZ4" s="151"/>
      <c r="BA4" s="149"/>
      <c r="BB4" s="150"/>
      <c r="BC4" s="151"/>
      <c r="BD4" s="149"/>
      <c r="BE4" s="150"/>
      <c r="BF4" s="151"/>
      <c r="BG4" s="149"/>
      <c r="BH4" s="150"/>
      <c r="BI4" s="104"/>
      <c r="BJ4" s="102"/>
      <c r="BK4" s="150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3"/>
      <c r="DT4" s="104"/>
      <c r="DU4" s="102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04"/>
      <c r="FB4" s="102"/>
      <c r="FC4" s="103"/>
      <c r="FD4" s="104"/>
      <c r="FE4" s="102"/>
      <c r="FF4" s="103"/>
      <c r="FG4" s="104"/>
      <c r="FH4" s="102"/>
      <c r="FI4" s="103"/>
      <c r="FJ4" s="104"/>
      <c r="FK4" s="102"/>
      <c r="FL4" s="103"/>
      <c r="FM4" s="104"/>
      <c r="FN4" s="102"/>
      <c r="FO4" s="103"/>
      <c r="FP4" s="104"/>
      <c r="FQ4" s="102"/>
      <c r="FR4" s="103"/>
      <c r="FS4" s="104"/>
      <c r="FT4" s="102"/>
      <c r="FU4" s="103"/>
      <c r="FV4" s="104"/>
      <c r="FW4" s="102"/>
      <c r="FX4" s="103"/>
      <c r="FY4" s="104"/>
      <c r="FZ4" s="102"/>
      <c r="GA4" s="105"/>
      <c r="GB4" s="101"/>
      <c r="GC4" s="102"/>
      <c r="GD4" s="103"/>
      <c r="GE4" s="104"/>
      <c r="GF4" s="102"/>
      <c r="GG4" s="103"/>
      <c r="GH4" s="104"/>
      <c r="GI4" s="102"/>
      <c r="GJ4" s="103"/>
      <c r="GK4" s="104"/>
      <c r="GL4" s="102"/>
      <c r="GM4" s="103"/>
      <c r="GN4" s="104"/>
      <c r="GO4" s="102"/>
      <c r="GP4" s="103"/>
      <c r="GQ4" s="104"/>
      <c r="GR4" s="102"/>
      <c r="GS4" s="103"/>
      <c r="GT4" s="104"/>
      <c r="GU4" s="102"/>
      <c r="GV4" s="103"/>
      <c r="GW4" s="104"/>
      <c r="GX4" s="102"/>
      <c r="GY4" s="103"/>
      <c r="GZ4" s="104"/>
      <c r="HA4" s="102"/>
      <c r="HB4" s="103"/>
      <c r="HC4" s="104"/>
      <c r="HD4" s="102"/>
      <c r="HE4" s="103"/>
      <c r="HF4" s="104"/>
      <c r="HG4" s="102"/>
      <c r="HH4" s="103"/>
      <c r="HI4" s="104"/>
      <c r="HJ4" s="102"/>
      <c r="HK4" s="103"/>
      <c r="HL4" s="104"/>
      <c r="HM4" s="102"/>
      <c r="HN4" s="103"/>
      <c r="HO4" s="104"/>
      <c r="HP4" s="102"/>
      <c r="HQ4" s="103"/>
      <c r="HR4" s="104"/>
      <c r="HS4" s="102"/>
      <c r="HT4" s="103"/>
      <c r="HU4" s="104"/>
      <c r="HV4" s="102"/>
      <c r="HW4" s="103"/>
      <c r="HX4" s="104"/>
      <c r="HY4" s="102"/>
      <c r="HZ4" s="103"/>
      <c r="IA4" s="104"/>
      <c r="IB4" s="102"/>
      <c r="IC4" s="103"/>
      <c r="ID4" s="104"/>
      <c r="IE4" s="102"/>
      <c r="IF4" s="103"/>
      <c r="IG4" s="104"/>
      <c r="IH4" s="102"/>
      <c r="II4" s="103"/>
      <c r="IJ4" s="104"/>
      <c r="IK4" s="102"/>
      <c r="IL4" s="103"/>
      <c r="IM4" s="104"/>
      <c r="IN4" s="102"/>
      <c r="IO4" s="103"/>
      <c r="IP4" s="104"/>
      <c r="IQ4" s="102"/>
      <c r="IR4" s="103"/>
      <c r="IS4" s="104"/>
      <c r="IT4" s="102"/>
      <c r="IU4" s="103"/>
      <c r="IV4" s="104"/>
      <c r="IW4" s="102"/>
      <c r="IX4" s="103"/>
      <c r="IY4" s="104"/>
      <c r="IZ4" s="102"/>
      <c r="JA4" s="103"/>
      <c r="JB4" s="104"/>
      <c r="JC4" s="102"/>
      <c r="JD4" s="103"/>
      <c r="JE4" s="104"/>
      <c r="JF4" s="102"/>
      <c r="JG4" s="103"/>
      <c r="JH4" s="104"/>
      <c r="JI4" s="102"/>
      <c r="JJ4" s="103"/>
      <c r="JK4" s="104"/>
      <c r="JL4" s="102"/>
      <c r="JM4" s="105"/>
      <c r="JN4" s="101"/>
      <c r="JO4" s="102"/>
      <c r="JP4" s="103"/>
      <c r="JQ4" s="104"/>
      <c r="JR4" s="102"/>
      <c r="JS4" s="103"/>
      <c r="JT4" s="104"/>
      <c r="JU4" s="102"/>
      <c r="JV4" s="103"/>
      <c r="JW4" s="104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5"/>
      <c r="MZ4" s="101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3"/>
      <c r="NL4" s="104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5"/>
      <c r="QL4" s="101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3"/>
      <c r="RA4" s="104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5"/>
      <c r="TX4" s="101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3"/>
      <c r="UP4" s="104"/>
      <c r="UQ4" s="102"/>
      <c r="UR4" s="103"/>
      <c r="US4" s="104"/>
      <c r="UT4" s="102"/>
      <c r="UU4" s="103"/>
      <c r="UV4" s="104"/>
      <c r="UW4" s="102"/>
      <c r="UX4" s="103"/>
      <c r="UY4" s="104"/>
      <c r="UZ4" s="102"/>
      <c r="VA4" s="103"/>
      <c r="VB4" s="104"/>
      <c r="VC4" s="102"/>
      <c r="VD4" s="103"/>
      <c r="VE4" s="104"/>
      <c r="VF4" s="102"/>
      <c r="VG4" s="103"/>
      <c r="VH4" s="104"/>
      <c r="VI4" s="102"/>
      <c r="VJ4" s="103"/>
      <c r="VK4" s="104"/>
      <c r="VL4" s="102"/>
      <c r="VM4" s="103"/>
      <c r="VN4" s="104"/>
      <c r="VO4" s="102"/>
      <c r="VP4" s="103"/>
      <c r="VQ4" s="104"/>
      <c r="VR4" s="102"/>
      <c r="VS4" s="103"/>
      <c r="VT4" s="104"/>
      <c r="VU4" s="102"/>
      <c r="VV4" s="103"/>
      <c r="VW4" s="104"/>
      <c r="VX4" s="102"/>
      <c r="VY4" s="103"/>
      <c r="VZ4" s="104"/>
      <c r="WA4" s="102"/>
      <c r="WB4" s="103"/>
      <c r="WC4" s="104"/>
      <c r="WD4" s="102"/>
      <c r="WE4" s="103"/>
      <c r="WF4" s="104"/>
      <c r="WG4" s="102"/>
      <c r="WH4" s="103"/>
      <c r="WI4" s="104"/>
      <c r="WJ4" s="102"/>
      <c r="WK4" s="103"/>
      <c r="WL4" s="104"/>
      <c r="WM4" s="102"/>
      <c r="WN4" s="103"/>
      <c r="WO4" s="104"/>
      <c r="WP4" s="102"/>
      <c r="WQ4" s="103"/>
      <c r="WR4" s="104"/>
      <c r="WS4" s="102"/>
      <c r="WT4" s="103"/>
      <c r="WU4" s="104"/>
      <c r="WV4" s="102"/>
      <c r="WW4" s="103"/>
      <c r="WX4" s="104"/>
      <c r="WY4" s="102"/>
      <c r="WZ4" s="103"/>
      <c r="XA4" s="104"/>
      <c r="XB4" s="102"/>
      <c r="XC4" s="103"/>
      <c r="XD4" s="104"/>
      <c r="XE4" s="102"/>
      <c r="XF4" s="103"/>
      <c r="XG4" s="104"/>
      <c r="XH4" s="102"/>
      <c r="XI4" s="105"/>
      <c r="XJ4" s="101"/>
      <c r="XK4" s="102"/>
      <c r="XL4" s="103"/>
      <c r="XM4" s="104"/>
      <c r="XN4" s="102"/>
      <c r="XO4" s="103"/>
      <c r="XP4" s="104"/>
      <c r="XQ4" s="102"/>
      <c r="XR4" s="103"/>
      <c r="XS4" s="104"/>
      <c r="XT4" s="102"/>
      <c r="XU4" s="103"/>
      <c r="XV4" s="104"/>
      <c r="XW4" s="102"/>
      <c r="XX4" s="103"/>
      <c r="XY4" s="104"/>
      <c r="XZ4" s="102"/>
      <c r="YA4" s="103"/>
      <c r="YB4" s="104"/>
      <c r="YC4" s="102"/>
      <c r="YD4" s="103"/>
      <c r="YE4" s="104"/>
      <c r="YF4" s="102"/>
      <c r="YG4" s="103"/>
      <c r="YH4" s="104"/>
      <c r="YI4" s="102"/>
      <c r="YJ4" s="103"/>
      <c r="YK4" s="104"/>
      <c r="YL4" s="102"/>
      <c r="YM4" s="103"/>
      <c r="YN4" s="104"/>
      <c r="YO4" s="102"/>
      <c r="YP4" s="103"/>
      <c r="YQ4" s="104"/>
      <c r="YR4" s="102"/>
      <c r="YS4" s="103"/>
      <c r="YT4" s="104"/>
      <c r="YU4" s="102"/>
      <c r="YV4" s="103"/>
      <c r="YW4" s="104"/>
      <c r="YX4" s="102"/>
      <c r="YY4" s="103"/>
      <c r="YZ4" s="104"/>
      <c r="ZA4" s="102"/>
      <c r="ZB4" s="103"/>
      <c r="ZC4" s="104"/>
      <c r="ZD4" s="102"/>
      <c r="ZE4" s="103"/>
      <c r="ZF4" s="104"/>
      <c r="ZG4" s="102"/>
      <c r="ZH4" s="103"/>
      <c r="ZI4" s="104"/>
      <c r="ZJ4" s="102"/>
      <c r="ZK4" s="103"/>
      <c r="ZL4" s="104"/>
      <c r="ZM4" s="102"/>
      <c r="ZN4" s="103"/>
      <c r="ZO4" s="104"/>
      <c r="ZP4" s="102"/>
      <c r="ZQ4" s="103"/>
      <c r="ZR4" s="104"/>
      <c r="ZS4" s="102"/>
      <c r="ZT4" s="103"/>
      <c r="ZU4" s="104"/>
      <c r="ZV4" s="102"/>
      <c r="ZW4" s="103"/>
      <c r="ZX4" s="104"/>
      <c r="ZY4" s="102"/>
      <c r="ZZ4" s="103"/>
      <c r="AAA4" s="104"/>
      <c r="AAB4" s="102"/>
      <c r="AAC4" s="103"/>
      <c r="AAD4" s="104"/>
      <c r="AAE4" s="102"/>
      <c r="AAF4" s="103"/>
      <c r="AAG4" s="104"/>
      <c r="AAH4" s="102"/>
      <c r="AAI4" s="103"/>
      <c r="AAJ4" s="104"/>
      <c r="AAK4" s="102"/>
      <c r="AAL4" s="103"/>
      <c r="AAM4" s="104"/>
      <c r="AAN4" s="102"/>
      <c r="AAO4" s="103"/>
      <c r="AAP4" s="104"/>
      <c r="AAQ4" s="102"/>
      <c r="AAR4" s="103"/>
      <c r="AAS4" s="104"/>
      <c r="AAT4" s="102"/>
      <c r="AAU4" s="105"/>
      <c r="AAV4" s="101"/>
      <c r="AAW4" s="102"/>
      <c r="AAX4" s="103"/>
      <c r="AAY4" s="104"/>
      <c r="AAZ4" s="102"/>
      <c r="ABA4" s="103"/>
      <c r="ABB4" s="104"/>
      <c r="ABC4" s="102"/>
      <c r="ABD4" s="103"/>
      <c r="ABE4" s="104"/>
      <c r="ABF4" s="102"/>
      <c r="ABG4" s="103"/>
      <c r="ABH4" s="104"/>
      <c r="ABI4" s="102"/>
      <c r="ABJ4" s="103"/>
      <c r="ABK4" s="104"/>
      <c r="ABL4" s="102"/>
      <c r="ABM4" s="103"/>
      <c r="ABN4" s="104"/>
      <c r="ABO4" s="102"/>
      <c r="ABP4" s="103"/>
      <c r="ABQ4" s="104"/>
      <c r="ABR4" s="102"/>
      <c r="ABS4" s="103"/>
      <c r="ABT4" s="104"/>
      <c r="ABU4" s="102"/>
      <c r="ABV4" s="103"/>
      <c r="ABW4" s="104"/>
      <c r="ABX4" s="102"/>
      <c r="ABY4" s="103"/>
      <c r="ABZ4" s="104"/>
      <c r="ACA4" s="102"/>
      <c r="ACB4" s="103"/>
      <c r="ACC4" s="104"/>
      <c r="ACD4" s="102"/>
      <c r="ACE4" s="103"/>
      <c r="ACF4" s="104"/>
      <c r="ACG4" s="102"/>
      <c r="ACH4" s="103"/>
      <c r="ACI4" s="104"/>
      <c r="ACJ4" s="102"/>
      <c r="ACK4" s="103"/>
      <c r="ACL4" s="104"/>
      <c r="ACM4" s="102"/>
      <c r="ACN4" s="103"/>
      <c r="ACO4" s="104"/>
      <c r="ACP4" s="102"/>
      <c r="ACQ4" s="103"/>
      <c r="ACR4" s="104"/>
      <c r="ACS4" s="102"/>
      <c r="ACT4" s="103"/>
      <c r="ACU4" s="104"/>
      <c r="ACV4" s="102"/>
      <c r="ACW4" s="103"/>
      <c r="ACX4" s="104"/>
      <c r="ACY4" s="102"/>
      <c r="ACZ4" s="103"/>
      <c r="ADA4" s="104"/>
      <c r="ADB4" s="102"/>
      <c r="ADC4" s="103"/>
      <c r="ADD4" s="104"/>
      <c r="ADE4" s="102"/>
      <c r="ADF4" s="103"/>
      <c r="ADG4" s="104"/>
      <c r="ADH4" s="102"/>
      <c r="ADI4" s="103"/>
      <c r="ADJ4" s="104"/>
      <c r="ADK4" s="102"/>
      <c r="ADL4" s="103"/>
      <c r="ADM4" s="104"/>
      <c r="ADN4" s="102"/>
      <c r="ADO4" s="103"/>
      <c r="ADP4" s="104"/>
      <c r="ADQ4" s="102"/>
      <c r="ADR4" s="103"/>
      <c r="ADS4" s="104"/>
      <c r="ADT4" s="102"/>
      <c r="ADU4" s="103"/>
      <c r="ADV4" s="104"/>
      <c r="ADW4" s="102"/>
      <c r="ADX4" s="103"/>
      <c r="ADY4" s="104"/>
      <c r="ADZ4" s="102"/>
      <c r="AEA4" s="103"/>
      <c r="AEB4" s="104"/>
      <c r="AEC4" s="102"/>
      <c r="AED4" s="103"/>
      <c r="AEE4" s="104"/>
      <c r="AEF4" s="102"/>
      <c r="AEG4" s="105"/>
    </row>
    <row r="5" spans="1:813" ht="19.5" customHeight="1" x14ac:dyDescent="0.25">
      <c r="B5" s="194" t="str">
        <f>Donnees!$C$21</f>
        <v>Rédaction JNLTRAV</v>
      </c>
      <c r="C5" s="106">
        <v>59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155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7"/>
      <c r="AN5" s="98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7"/>
      <c r="AZ5" s="98"/>
      <c r="BA5" s="96"/>
      <c r="BB5" s="97"/>
      <c r="BC5" s="155"/>
      <c r="BD5" s="96"/>
      <c r="BE5" s="97"/>
      <c r="BF5" s="98"/>
      <c r="BG5" s="96"/>
      <c r="BH5" s="97"/>
      <c r="BI5" s="98"/>
      <c r="BJ5" s="96"/>
      <c r="BK5" s="97"/>
      <c r="BL5" s="98"/>
      <c r="BM5" s="96"/>
      <c r="BN5" s="97"/>
      <c r="BO5" s="155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155"/>
      <c r="CW5" s="153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155"/>
      <c r="DO5" s="153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155"/>
      <c r="EP5" s="153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155"/>
      <c r="FB5" s="153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9"/>
      <c r="GB5" s="152"/>
      <c r="GC5" s="153"/>
      <c r="GD5" s="97"/>
      <c r="GE5" s="98"/>
      <c r="GF5" s="96"/>
      <c r="GG5" s="97"/>
      <c r="GH5" s="98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155"/>
      <c r="HA5" s="153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155"/>
      <c r="IB5" s="153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155"/>
      <c r="IN5" s="153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9"/>
      <c r="JN5" s="152"/>
      <c r="JO5" s="153"/>
      <c r="JP5" s="97"/>
      <c r="JQ5" s="98"/>
      <c r="JR5" s="96"/>
      <c r="JS5" s="97"/>
      <c r="JT5" s="98"/>
      <c r="JU5" s="96"/>
      <c r="JV5" s="97"/>
      <c r="JW5" s="98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155"/>
      <c r="KM5" s="153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155"/>
      <c r="LN5" s="153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155"/>
      <c r="LZ5" s="153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9"/>
      <c r="MZ5" s="152"/>
      <c r="NA5" s="153"/>
      <c r="NB5" s="97"/>
      <c r="NC5" s="98"/>
      <c r="ND5" s="96"/>
      <c r="NE5" s="97"/>
      <c r="NF5" s="98"/>
      <c r="NG5" s="96"/>
      <c r="NH5" s="97"/>
      <c r="NI5" s="98"/>
      <c r="NJ5" s="96"/>
      <c r="NK5" s="97"/>
      <c r="NL5" s="98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155"/>
      <c r="NY5" s="153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155"/>
      <c r="OZ5" s="153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155"/>
      <c r="PL5" s="153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9"/>
      <c r="QL5" s="152"/>
      <c r="QM5" s="153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7"/>
      <c r="RA5" s="98"/>
      <c r="RB5" s="96"/>
      <c r="RC5" s="97"/>
      <c r="RD5" s="98"/>
      <c r="RE5" s="96"/>
      <c r="RF5" s="97"/>
      <c r="RG5" s="98"/>
      <c r="RH5" s="96"/>
      <c r="RI5" s="97"/>
      <c r="RJ5" s="155"/>
      <c r="RK5" s="153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155"/>
      <c r="SL5" s="153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155"/>
      <c r="SX5" s="153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9"/>
      <c r="TX5" s="152"/>
      <c r="TY5" s="153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7"/>
      <c r="UP5" s="98"/>
      <c r="UQ5" s="96"/>
      <c r="UR5" s="97"/>
      <c r="US5" s="98"/>
      <c r="UT5" s="96"/>
      <c r="UU5" s="97"/>
      <c r="UV5" s="155"/>
      <c r="UW5" s="153"/>
      <c r="UX5" s="97"/>
      <c r="UY5" s="98"/>
      <c r="UZ5" s="96"/>
      <c r="VA5" s="97"/>
      <c r="VB5" s="98"/>
      <c r="VC5" s="96"/>
      <c r="VD5" s="97"/>
      <c r="VE5" s="98"/>
      <c r="VF5" s="96"/>
      <c r="VG5" s="97"/>
      <c r="VH5" s="98"/>
      <c r="VI5" s="96"/>
      <c r="VJ5" s="97"/>
      <c r="VK5" s="98"/>
      <c r="VL5" s="96"/>
      <c r="VM5" s="97"/>
      <c r="VN5" s="98"/>
      <c r="VO5" s="96"/>
      <c r="VP5" s="97"/>
      <c r="VQ5" s="98"/>
      <c r="VR5" s="96"/>
      <c r="VS5" s="97"/>
      <c r="VT5" s="98"/>
      <c r="VU5" s="96"/>
      <c r="VV5" s="97"/>
      <c r="VW5" s="155"/>
      <c r="VX5" s="153"/>
      <c r="VY5" s="97"/>
      <c r="VZ5" s="98"/>
      <c r="WA5" s="96"/>
      <c r="WB5" s="97"/>
      <c r="WC5" s="98"/>
      <c r="WD5" s="96"/>
      <c r="WE5" s="97"/>
      <c r="WF5" s="98"/>
      <c r="WG5" s="96"/>
      <c r="WH5" s="97"/>
      <c r="WI5" s="155"/>
      <c r="WJ5" s="153"/>
      <c r="WK5" s="97"/>
      <c r="WL5" s="98"/>
      <c r="WM5" s="96"/>
      <c r="WN5" s="97"/>
      <c r="WO5" s="98"/>
      <c r="WP5" s="96"/>
      <c r="WQ5" s="97"/>
      <c r="WR5" s="98"/>
      <c r="WS5" s="96"/>
      <c r="WT5" s="97"/>
      <c r="WU5" s="98"/>
      <c r="WV5" s="96"/>
      <c r="WW5" s="97"/>
      <c r="WX5" s="98"/>
      <c r="WY5" s="96"/>
      <c r="WZ5" s="97"/>
      <c r="XA5" s="98"/>
      <c r="XB5" s="96"/>
      <c r="XC5" s="97"/>
      <c r="XD5" s="98"/>
      <c r="XE5" s="96"/>
      <c r="XF5" s="97"/>
      <c r="XG5" s="98"/>
      <c r="XH5" s="96"/>
      <c r="XI5" s="99"/>
      <c r="XJ5" s="152"/>
      <c r="XK5" s="153"/>
      <c r="XL5" s="97"/>
      <c r="XM5" s="98"/>
      <c r="XN5" s="96"/>
      <c r="XO5" s="97"/>
      <c r="XP5" s="98"/>
      <c r="XQ5" s="96"/>
      <c r="XR5" s="97"/>
      <c r="XS5" s="98"/>
      <c r="XT5" s="96"/>
      <c r="XU5" s="97"/>
      <c r="XV5" s="98"/>
      <c r="XW5" s="96"/>
      <c r="XX5" s="97"/>
      <c r="XY5" s="98"/>
      <c r="XZ5" s="96"/>
      <c r="YA5" s="97"/>
      <c r="YB5" s="98"/>
      <c r="YC5" s="96"/>
      <c r="YD5" s="97"/>
      <c r="YE5" s="98"/>
      <c r="YF5" s="96"/>
      <c r="YG5" s="97"/>
      <c r="YH5" s="155"/>
      <c r="YI5" s="153"/>
      <c r="YJ5" s="97"/>
      <c r="YK5" s="98"/>
      <c r="YL5" s="96"/>
      <c r="YM5" s="97"/>
      <c r="YN5" s="98"/>
      <c r="YO5" s="96"/>
      <c r="YP5" s="97"/>
      <c r="YQ5" s="98"/>
      <c r="YR5" s="96"/>
      <c r="YS5" s="97"/>
      <c r="YT5" s="98"/>
      <c r="YU5" s="96"/>
      <c r="YV5" s="97"/>
      <c r="YW5" s="98"/>
      <c r="YX5" s="96"/>
      <c r="YY5" s="97"/>
      <c r="YZ5" s="98"/>
      <c r="ZA5" s="96"/>
      <c r="ZB5" s="97"/>
      <c r="ZC5" s="98"/>
      <c r="ZD5" s="96"/>
      <c r="ZE5" s="97"/>
      <c r="ZF5" s="98"/>
      <c r="ZG5" s="96"/>
      <c r="ZH5" s="97"/>
      <c r="ZI5" s="155"/>
      <c r="ZJ5" s="153"/>
      <c r="ZK5" s="97"/>
      <c r="ZL5" s="98"/>
      <c r="ZM5" s="96"/>
      <c r="ZN5" s="97"/>
      <c r="ZO5" s="98"/>
      <c r="ZP5" s="96"/>
      <c r="ZQ5" s="97"/>
      <c r="ZR5" s="98"/>
      <c r="ZS5" s="96"/>
      <c r="ZT5" s="97"/>
      <c r="ZU5" s="155"/>
      <c r="ZV5" s="153"/>
      <c r="ZW5" s="97"/>
      <c r="ZX5" s="98"/>
      <c r="ZY5" s="96"/>
      <c r="ZZ5" s="97"/>
      <c r="AAA5" s="98"/>
      <c r="AAB5" s="96"/>
      <c r="AAC5" s="97"/>
      <c r="AAD5" s="98"/>
      <c r="AAE5" s="96"/>
      <c r="AAF5" s="97"/>
      <c r="AAG5" s="98"/>
      <c r="AAH5" s="96"/>
      <c r="AAI5" s="97"/>
      <c r="AAJ5" s="98"/>
      <c r="AAK5" s="96"/>
      <c r="AAL5" s="97"/>
      <c r="AAM5" s="98"/>
      <c r="AAN5" s="96"/>
      <c r="AAO5" s="97"/>
      <c r="AAP5" s="98"/>
      <c r="AAQ5" s="96"/>
      <c r="AAR5" s="97"/>
      <c r="AAS5" s="98"/>
      <c r="AAT5" s="96"/>
      <c r="AAU5" s="99"/>
      <c r="AAV5" s="95"/>
      <c r="AAW5" s="96"/>
      <c r="AAX5" s="97"/>
      <c r="AAY5" s="98"/>
      <c r="AAZ5" s="96"/>
      <c r="ABA5" s="97"/>
      <c r="ABB5" s="98"/>
      <c r="ABC5" s="96"/>
      <c r="ABD5" s="97"/>
      <c r="ABE5" s="98"/>
      <c r="ABF5" s="96"/>
      <c r="ABG5" s="97"/>
      <c r="ABH5" s="98"/>
      <c r="ABI5" s="96"/>
      <c r="ABJ5" s="97"/>
      <c r="ABK5" s="98"/>
      <c r="ABL5" s="96"/>
      <c r="ABM5" s="97"/>
      <c r="ABN5" s="98"/>
      <c r="ABO5" s="96"/>
      <c r="ABP5" s="97"/>
      <c r="ABQ5" s="98"/>
      <c r="ABR5" s="96"/>
      <c r="ABS5" s="97"/>
      <c r="ABT5" s="98"/>
      <c r="ABU5" s="96"/>
      <c r="ABV5" s="97"/>
      <c r="ABW5" s="98"/>
      <c r="ABX5" s="96"/>
      <c r="ABY5" s="97"/>
      <c r="ABZ5" s="98"/>
      <c r="ACA5" s="96"/>
      <c r="ACB5" s="97"/>
      <c r="ACC5" s="98"/>
      <c r="ACD5" s="96"/>
      <c r="ACE5" s="97"/>
      <c r="ACF5" s="98"/>
      <c r="ACG5" s="96"/>
      <c r="ACH5" s="97"/>
      <c r="ACI5" s="98"/>
      <c r="ACJ5" s="96"/>
      <c r="ACK5" s="97"/>
      <c r="ACL5" s="98"/>
      <c r="ACM5" s="96"/>
      <c r="ACN5" s="97"/>
      <c r="ACO5" s="98"/>
      <c r="ACP5" s="96"/>
      <c r="ACQ5" s="97"/>
      <c r="ACR5" s="98"/>
      <c r="ACS5" s="96"/>
      <c r="ACT5" s="97"/>
      <c r="ACU5" s="98"/>
      <c r="ACV5" s="96"/>
      <c r="ACW5" s="97"/>
      <c r="ACX5" s="98"/>
      <c r="ACY5" s="96"/>
      <c r="ACZ5" s="97"/>
      <c r="ADA5" s="98"/>
      <c r="ADB5" s="96"/>
      <c r="ADC5" s="97"/>
      <c r="ADD5" s="98"/>
      <c r="ADE5" s="96"/>
      <c r="ADF5" s="97"/>
      <c r="ADG5" s="98"/>
      <c r="ADH5" s="96"/>
      <c r="ADI5" s="97"/>
      <c r="ADJ5" s="98"/>
      <c r="ADK5" s="96"/>
      <c r="ADL5" s="97"/>
      <c r="ADM5" s="98"/>
      <c r="ADN5" s="96"/>
      <c r="ADO5" s="97"/>
      <c r="ADP5" s="98"/>
      <c r="ADQ5" s="96"/>
      <c r="ADR5" s="97"/>
      <c r="ADS5" s="98"/>
      <c r="ADT5" s="96"/>
      <c r="ADU5" s="97"/>
      <c r="ADV5" s="98"/>
      <c r="ADW5" s="96"/>
      <c r="ADX5" s="97"/>
      <c r="ADY5" s="98"/>
      <c r="ADZ5" s="96"/>
      <c r="AEA5" s="97"/>
      <c r="AEB5" s="98"/>
      <c r="AEC5" s="96"/>
      <c r="AED5" s="97"/>
      <c r="AEE5" s="98"/>
      <c r="AEF5" s="96"/>
      <c r="AEG5" s="99"/>
    </row>
    <row r="6" spans="1:813" ht="19.5" customHeight="1" thickBot="1" x14ac:dyDescent="0.3">
      <c r="B6" s="191"/>
      <c r="C6" s="107">
        <v>2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51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49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02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03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5"/>
      <c r="GB6" s="101"/>
      <c r="GC6" s="102"/>
      <c r="GD6" s="103"/>
      <c r="GE6" s="104"/>
      <c r="GF6" s="102"/>
      <c r="GG6" s="103"/>
      <c r="GH6" s="104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5"/>
      <c r="JN6" s="101"/>
      <c r="JO6" s="102"/>
      <c r="JP6" s="103"/>
      <c r="JQ6" s="104"/>
      <c r="JR6" s="102"/>
      <c r="JS6" s="103"/>
      <c r="JT6" s="104"/>
      <c r="JU6" s="102"/>
      <c r="JV6" s="103"/>
      <c r="JW6" s="104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5"/>
      <c r="MZ6" s="101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3"/>
      <c r="NL6" s="104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5"/>
      <c r="QL6" s="101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3"/>
      <c r="RA6" s="104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5"/>
      <c r="TX6" s="101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3"/>
      <c r="UP6" s="104"/>
      <c r="UQ6" s="102"/>
      <c r="UR6" s="103"/>
      <c r="US6" s="104"/>
      <c r="UT6" s="102"/>
      <c r="UU6" s="103"/>
      <c r="UV6" s="104"/>
      <c r="UW6" s="102"/>
      <c r="UX6" s="103"/>
      <c r="UY6" s="104"/>
      <c r="UZ6" s="102"/>
      <c r="VA6" s="103"/>
      <c r="VB6" s="104"/>
      <c r="VC6" s="102"/>
      <c r="VD6" s="103"/>
      <c r="VE6" s="104"/>
      <c r="VF6" s="102"/>
      <c r="VG6" s="103"/>
      <c r="VH6" s="104"/>
      <c r="VI6" s="102"/>
      <c r="VJ6" s="103"/>
      <c r="VK6" s="104"/>
      <c r="VL6" s="102"/>
      <c r="VM6" s="103"/>
      <c r="VN6" s="104"/>
      <c r="VO6" s="102"/>
      <c r="VP6" s="103"/>
      <c r="VQ6" s="104"/>
      <c r="VR6" s="102"/>
      <c r="VS6" s="103"/>
      <c r="VT6" s="104"/>
      <c r="VU6" s="102"/>
      <c r="VV6" s="103"/>
      <c r="VW6" s="104"/>
      <c r="VX6" s="102"/>
      <c r="VY6" s="103"/>
      <c r="VZ6" s="104"/>
      <c r="WA6" s="102"/>
      <c r="WB6" s="103"/>
      <c r="WC6" s="104"/>
      <c r="WD6" s="102"/>
      <c r="WE6" s="103"/>
      <c r="WF6" s="104"/>
      <c r="WG6" s="102"/>
      <c r="WH6" s="103"/>
      <c r="WI6" s="104"/>
      <c r="WJ6" s="102"/>
      <c r="WK6" s="103"/>
      <c r="WL6" s="104"/>
      <c r="WM6" s="102"/>
      <c r="WN6" s="103"/>
      <c r="WO6" s="104"/>
      <c r="WP6" s="102"/>
      <c r="WQ6" s="103"/>
      <c r="WR6" s="104"/>
      <c r="WS6" s="102"/>
      <c r="WT6" s="103"/>
      <c r="WU6" s="104"/>
      <c r="WV6" s="102"/>
      <c r="WW6" s="103"/>
      <c r="WX6" s="104"/>
      <c r="WY6" s="102"/>
      <c r="WZ6" s="103"/>
      <c r="XA6" s="104"/>
      <c r="XB6" s="102"/>
      <c r="XC6" s="103"/>
      <c r="XD6" s="104"/>
      <c r="XE6" s="102"/>
      <c r="XF6" s="103"/>
      <c r="XG6" s="104"/>
      <c r="XH6" s="102"/>
      <c r="XI6" s="105"/>
      <c r="XJ6" s="101"/>
      <c r="XK6" s="102"/>
      <c r="XL6" s="103"/>
      <c r="XM6" s="104"/>
      <c r="XN6" s="102"/>
      <c r="XO6" s="103"/>
      <c r="XP6" s="104"/>
      <c r="XQ6" s="102"/>
      <c r="XR6" s="103"/>
      <c r="XS6" s="104"/>
      <c r="XT6" s="102"/>
      <c r="XU6" s="103"/>
      <c r="XV6" s="104"/>
      <c r="XW6" s="102"/>
      <c r="XX6" s="103"/>
      <c r="XY6" s="104"/>
      <c r="XZ6" s="102"/>
      <c r="YA6" s="103"/>
      <c r="YB6" s="104"/>
      <c r="YC6" s="102"/>
      <c r="YD6" s="103"/>
      <c r="YE6" s="104"/>
      <c r="YF6" s="102"/>
      <c r="YG6" s="103"/>
      <c r="YH6" s="104"/>
      <c r="YI6" s="102"/>
      <c r="YJ6" s="103"/>
      <c r="YK6" s="104"/>
      <c r="YL6" s="102"/>
      <c r="YM6" s="103"/>
      <c r="YN6" s="104"/>
      <c r="YO6" s="102"/>
      <c r="YP6" s="103"/>
      <c r="YQ6" s="104"/>
      <c r="YR6" s="102"/>
      <c r="YS6" s="103"/>
      <c r="YT6" s="104"/>
      <c r="YU6" s="102"/>
      <c r="YV6" s="103"/>
      <c r="YW6" s="104"/>
      <c r="YX6" s="102"/>
      <c r="YY6" s="103"/>
      <c r="YZ6" s="104"/>
      <c r="ZA6" s="102"/>
      <c r="ZB6" s="103"/>
      <c r="ZC6" s="104"/>
      <c r="ZD6" s="102"/>
      <c r="ZE6" s="103"/>
      <c r="ZF6" s="104"/>
      <c r="ZG6" s="102"/>
      <c r="ZH6" s="103"/>
      <c r="ZI6" s="104"/>
      <c r="ZJ6" s="102"/>
      <c r="ZK6" s="103"/>
      <c r="ZL6" s="104"/>
      <c r="ZM6" s="102"/>
      <c r="ZN6" s="103"/>
      <c r="ZO6" s="104"/>
      <c r="ZP6" s="102"/>
      <c r="ZQ6" s="103"/>
      <c r="ZR6" s="104"/>
      <c r="ZS6" s="102"/>
      <c r="ZT6" s="103"/>
      <c r="ZU6" s="104"/>
      <c r="ZV6" s="102"/>
      <c r="ZW6" s="103"/>
      <c r="ZX6" s="104"/>
      <c r="ZY6" s="102"/>
      <c r="ZZ6" s="103"/>
      <c r="AAA6" s="104"/>
      <c r="AAB6" s="102"/>
      <c r="AAC6" s="103"/>
      <c r="AAD6" s="104"/>
      <c r="AAE6" s="102"/>
      <c r="AAF6" s="103"/>
      <c r="AAG6" s="104"/>
      <c r="AAH6" s="102"/>
      <c r="AAI6" s="103"/>
      <c r="AAJ6" s="104"/>
      <c r="AAK6" s="102"/>
      <c r="AAL6" s="103"/>
      <c r="AAM6" s="104"/>
      <c r="AAN6" s="102"/>
      <c r="AAO6" s="103"/>
      <c r="AAP6" s="104"/>
      <c r="AAQ6" s="102"/>
      <c r="AAR6" s="103"/>
      <c r="AAS6" s="104"/>
      <c r="AAT6" s="102"/>
      <c r="AAU6" s="105"/>
      <c r="AAV6" s="101"/>
      <c r="AAW6" s="102"/>
      <c r="AAX6" s="103"/>
      <c r="AAY6" s="104"/>
      <c r="AAZ6" s="102"/>
      <c r="ABA6" s="103"/>
      <c r="ABB6" s="104"/>
      <c r="ABC6" s="102"/>
      <c r="ABD6" s="103"/>
      <c r="ABE6" s="104"/>
      <c r="ABF6" s="102"/>
      <c r="ABG6" s="103"/>
      <c r="ABH6" s="104"/>
      <c r="ABI6" s="102"/>
      <c r="ABJ6" s="103"/>
      <c r="ABK6" s="104"/>
      <c r="ABL6" s="102"/>
      <c r="ABM6" s="103"/>
      <c r="ABN6" s="104"/>
      <c r="ABO6" s="102"/>
      <c r="ABP6" s="103"/>
      <c r="ABQ6" s="104"/>
      <c r="ABR6" s="102"/>
      <c r="ABS6" s="103"/>
      <c r="ABT6" s="104"/>
      <c r="ABU6" s="102"/>
      <c r="ABV6" s="103"/>
      <c r="ABW6" s="104"/>
      <c r="ABX6" s="102"/>
      <c r="ABY6" s="103"/>
      <c r="ABZ6" s="104"/>
      <c r="ACA6" s="102"/>
      <c r="ACB6" s="103"/>
      <c r="ACC6" s="104"/>
      <c r="ACD6" s="102"/>
      <c r="ACE6" s="103"/>
      <c r="ACF6" s="104"/>
      <c r="ACG6" s="102"/>
      <c r="ACH6" s="103"/>
      <c r="ACI6" s="104"/>
      <c r="ACJ6" s="102"/>
      <c r="ACK6" s="103"/>
      <c r="ACL6" s="104"/>
      <c r="ACM6" s="102"/>
      <c r="ACN6" s="103"/>
      <c r="ACO6" s="104"/>
      <c r="ACP6" s="102"/>
      <c r="ACQ6" s="103"/>
      <c r="ACR6" s="104"/>
      <c r="ACS6" s="102"/>
      <c r="ACT6" s="103"/>
      <c r="ACU6" s="104"/>
      <c r="ACV6" s="102"/>
      <c r="ACW6" s="103"/>
      <c r="ACX6" s="104"/>
      <c r="ACY6" s="102"/>
      <c r="ACZ6" s="103"/>
      <c r="ADA6" s="104"/>
      <c r="ADB6" s="102"/>
      <c r="ADC6" s="103"/>
      <c r="ADD6" s="104"/>
      <c r="ADE6" s="102"/>
      <c r="ADF6" s="103"/>
      <c r="ADG6" s="104"/>
      <c r="ADH6" s="102"/>
      <c r="ADI6" s="103"/>
      <c r="ADJ6" s="104"/>
      <c r="ADK6" s="102"/>
      <c r="ADL6" s="103"/>
      <c r="ADM6" s="104"/>
      <c r="ADN6" s="102"/>
      <c r="ADO6" s="103"/>
      <c r="ADP6" s="104"/>
      <c r="ADQ6" s="102"/>
      <c r="ADR6" s="103"/>
      <c r="ADS6" s="104"/>
      <c r="ADT6" s="102"/>
      <c r="ADU6" s="103"/>
      <c r="ADV6" s="104"/>
      <c r="ADW6" s="102"/>
      <c r="ADX6" s="103"/>
      <c r="ADY6" s="104"/>
      <c r="ADZ6" s="102"/>
      <c r="AEA6" s="103"/>
      <c r="AEB6" s="104"/>
      <c r="AEC6" s="102"/>
      <c r="AED6" s="103"/>
      <c r="AEE6" s="104"/>
      <c r="AEF6" s="102"/>
      <c r="AEG6" s="105"/>
    </row>
    <row r="7" spans="1:813" ht="19.5" customHeight="1" x14ac:dyDescent="0.25">
      <c r="B7" s="190" t="str">
        <f>Donnees!$C$22</f>
        <v>Rédaction Rapport</v>
      </c>
      <c r="C7" s="106">
        <v>91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154"/>
      <c r="AZ7" s="155"/>
      <c r="BA7" s="153"/>
      <c r="BB7" s="154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154"/>
      <c r="CY7" s="155"/>
      <c r="CZ7" s="153"/>
      <c r="DA7" s="154"/>
      <c r="DB7" s="155"/>
      <c r="DC7" s="153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154"/>
      <c r="DQ7" s="155"/>
      <c r="DR7" s="153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154"/>
      <c r="ER7" s="155"/>
      <c r="ES7" s="153"/>
      <c r="ET7" s="97"/>
      <c r="EU7" s="98"/>
      <c r="EV7" s="96"/>
      <c r="EW7" s="97"/>
      <c r="EX7" s="98"/>
      <c r="EY7" s="96"/>
      <c r="EZ7" s="97"/>
      <c r="FA7" s="98"/>
      <c r="FB7" s="96"/>
      <c r="FC7" s="154"/>
      <c r="FD7" s="155"/>
      <c r="FE7" s="153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9"/>
      <c r="GB7" s="95"/>
      <c r="GC7" s="96"/>
      <c r="GD7" s="154"/>
      <c r="GE7" s="155"/>
      <c r="GF7" s="153"/>
      <c r="GG7" s="97"/>
      <c r="GH7" s="98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154"/>
      <c r="HC7" s="155"/>
      <c r="HD7" s="153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154"/>
      <c r="ID7" s="155"/>
      <c r="IE7" s="153"/>
      <c r="IF7" s="97"/>
      <c r="IG7" s="98"/>
      <c r="IH7" s="96"/>
      <c r="II7" s="97"/>
      <c r="IJ7" s="98"/>
      <c r="IK7" s="96"/>
      <c r="IL7" s="97"/>
      <c r="IM7" s="98"/>
      <c r="IN7" s="96"/>
      <c r="IO7" s="154"/>
      <c r="IP7" s="155"/>
      <c r="IQ7" s="153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9"/>
      <c r="JN7" s="95"/>
      <c r="JO7" s="96"/>
      <c r="JP7" s="154"/>
      <c r="JQ7" s="155"/>
      <c r="JR7" s="153"/>
      <c r="JS7" s="97"/>
      <c r="JT7" s="98"/>
      <c r="JU7" s="96"/>
      <c r="JV7" s="97"/>
      <c r="JW7" s="98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154"/>
      <c r="KO7" s="155"/>
      <c r="KP7" s="153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154"/>
      <c r="LP7" s="155"/>
      <c r="LQ7" s="153"/>
      <c r="LR7" s="97"/>
      <c r="LS7" s="98"/>
      <c r="LT7" s="96"/>
      <c r="LU7" s="97"/>
      <c r="LV7" s="98"/>
      <c r="LW7" s="96"/>
      <c r="LX7" s="97"/>
      <c r="LY7" s="98"/>
      <c r="LZ7" s="96"/>
      <c r="MA7" s="154"/>
      <c r="MB7" s="155"/>
      <c r="MC7" s="153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9"/>
      <c r="MZ7" s="95"/>
      <c r="NA7" s="96"/>
      <c r="NB7" s="154"/>
      <c r="NC7" s="155"/>
      <c r="ND7" s="153"/>
      <c r="NE7" s="97"/>
      <c r="NF7" s="98"/>
      <c r="NG7" s="96"/>
      <c r="NH7" s="97"/>
      <c r="NI7" s="98"/>
      <c r="NJ7" s="96"/>
      <c r="NK7" s="97"/>
      <c r="NL7" s="98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154"/>
      <c r="OA7" s="155"/>
      <c r="OB7" s="153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154"/>
      <c r="PB7" s="155"/>
      <c r="PC7" s="153"/>
      <c r="PD7" s="97"/>
      <c r="PE7" s="98"/>
      <c r="PF7" s="96"/>
      <c r="PG7" s="97"/>
      <c r="PH7" s="98"/>
      <c r="PI7" s="96"/>
      <c r="PJ7" s="97"/>
      <c r="PK7" s="98"/>
      <c r="PL7" s="96"/>
      <c r="PM7" s="154"/>
      <c r="PN7" s="155"/>
      <c r="PO7" s="153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9"/>
      <c r="QL7" s="95"/>
      <c r="QM7" s="96"/>
      <c r="QN7" s="154"/>
      <c r="QO7" s="155"/>
      <c r="QP7" s="153"/>
      <c r="QQ7" s="97"/>
      <c r="QR7" s="98"/>
      <c r="QS7" s="96"/>
      <c r="QT7" s="97"/>
      <c r="QU7" s="98"/>
      <c r="QV7" s="96"/>
      <c r="QW7" s="97"/>
      <c r="QX7" s="98"/>
      <c r="QY7" s="96"/>
      <c r="QZ7" s="97"/>
      <c r="RA7" s="98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154"/>
      <c r="RM7" s="155"/>
      <c r="RN7" s="153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154"/>
      <c r="SN7" s="155"/>
      <c r="SO7" s="153"/>
      <c r="SP7" s="97"/>
      <c r="SQ7" s="98"/>
      <c r="SR7" s="96"/>
      <c r="SS7" s="97"/>
      <c r="ST7" s="98"/>
      <c r="SU7" s="96"/>
      <c r="SV7" s="97"/>
      <c r="SW7" s="98"/>
      <c r="SX7" s="96"/>
      <c r="SY7" s="154"/>
      <c r="SZ7" s="155"/>
      <c r="TA7" s="153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9"/>
      <c r="TX7" s="95"/>
      <c r="TY7" s="96"/>
      <c r="TZ7" s="154"/>
      <c r="UA7" s="155"/>
      <c r="UB7" s="153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7"/>
      <c r="UP7" s="98"/>
      <c r="UQ7" s="96"/>
      <c r="UR7" s="97"/>
      <c r="US7" s="98"/>
      <c r="UT7" s="96"/>
      <c r="UU7" s="97"/>
      <c r="UV7" s="98"/>
      <c r="UW7" s="96"/>
      <c r="UX7" s="154"/>
      <c r="UY7" s="155"/>
      <c r="UZ7" s="153"/>
      <c r="VA7" s="97"/>
      <c r="VB7" s="98"/>
      <c r="VC7" s="96"/>
      <c r="VD7" s="97"/>
      <c r="VE7" s="98"/>
      <c r="VF7" s="96"/>
      <c r="VG7" s="97"/>
      <c r="VH7" s="98"/>
      <c r="VI7" s="96"/>
      <c r="VJ7" s="97"/>
      <c r="VK7" s="98"/>
      <c r="VL7" s="96"/>
      <c r="VM7" s="97"/>
      <c r="VN7" s="98"/>
      <c r="VO7" s="96"/>
      <c r="VP7" s="97"/>
      <c r="VQ7" s="98"/>
      <c r="VR7" s="96"/>
      <c r="VS7" s="97"/>
      <c r="VT7" s="98"/>
      <c r="VU7" s="96"/>
      <c r="VV7" s="97"/>
      <c r="VW7" s="98"/>
      <c r="VX7" s="96"/>
      <c r="VY7" s="154"/>
      <c r="VZ7" s="155"/>
      <c r="WA7" s="153"/>
      <c r="WB7" s="97"/>
      <c r="WC7" s="98"/>
      <c r="WD7" s="96"/>
      <c r="WE7" s="97"/>
      <c r="WF7" s="98"/>
      <c r="WG7" s="96"/>
      <c r="WH7" s="97"/>
      <c r="WI7" s="98"/>
      <c r="WJ7" s="96"/>
      <c r="WK7" s="154"/>
      <c r="WL7" s="155"/>
      <c r="WM7" s="153"/>
      <c r="WN7" s="97"/>
      <c r="WO7" s="98"/>
      <c r="WP7" s="96"/>
      <c r="WQ7" s="97"/>
      <c r="WR7" s="98"/>
      <c r="WS7" s="96"/>
      <c r="WT7" s="97"/>
      <c r="WU7" s="98"/>
      <c r="WV7" s="96"/>
      <c r="WW7" s="97"/>
      <c r="WX7" s="98"/>
      <c r="WY7" s="96"/>
      <c r="WZ7" s="97"/>
      <c r="XA7" s="98"/>
      <c r="XB7" s="96"/>
      <c r="XC7" s="97"/>
      <c r="XD7" s="98"/>
      <c r="XE7" s="96"/>
      <c r="XF7" s="97"/>
      <c r="XG7" s="98"/>
      <c r="XH7" s="96"/>
      <c r="XI7" s="99"/>
      <c r="XJ7" s="95"/>
      <c r="XK7" s="96"/>
      <c r="XL7" s="154"/>
      <c r="XM7" s="155"/>
      <c r="XN7" s="153"/>
      <c r="XO7" s="97"/>
      <c r="XP7" s="98"/>
      <c r="XQ7" s="96"/>
      <c r="XR7" s="97"/>
      <c r="XS7" s="98"/>
      <c r="XT7" s="96"/>
      <c r="XU7" s="97"/>
      <c r="XV7" s="98"/>
      <c r="XW7" s="96"/>
      <c r="XX7" s="97"/>
      <c r="XY7" s="98"/>
      <c r="XZ7" s="96"/>
      <c r="YA7" s="97"/>
      <c r="YB7" s="98"/>
      <c r="YC7" s="96"/>
      <c r="YD7" s="97"/>
      <c r="YE7" s="98"/>
      <c r="YF7" s="96"/>
      <c r="YG7" s="97"/>
      <c r="YH7" s="98"/>
      <c r="YI7" s="96"/>
      <c r="YJ7" s="154"/>
      <c r="YK7" s="155"/>
      <c r="YL7" s="153"/>
      <c r="YM7" s="97"/>
      <c r="YN7" s="98"/>
      <c r="YO7" s="96"/>
      <c r="YP7" s="97"/>
      <c r="YQ7" s="98"/>
      <c r="YR7" s="96"/>
      <c r="YS7" s="97"/>
      <c r="YT7" s="98"/>
      <c r="YU7" s="96"/>
      <c r="YV7" s="97"/>
      <c r="YW7" s="98"/>
      <c r="YX7" s="96"/>
      <c r="YY7" s="97"/>
      <c r="YZ7" s="98"/>
      <c r="ZA7" s="96"/>
      <c r="ZB7" s="97"/>
      <c r="ZC7" s="98"/>
      <c r="ZD7" s="96"/>
      <c r="ZE7" s="97"/>
      <c r="ZF7" s="98"/>
      <c r="ZG7" s="96"/>
      <c r="ZH7" s="97"/>
      <c r="ZI7" s="98"/>
      <c r="ZJ7" s="96"/>
      <c r="ZK7" s="154"/>
      <c r="ZL7" s="155"/>
      <c r="ZM7" s="153"/>
      <c r="ZN7" s="97"/>
      <c r="ZO7" s="98"/>
      <c r="ZP7" s="96"/>
      <c r="ZQ7" s="97"/>
      <c r="ZR7" s="98"/>
      <c r="ZS7" s="96"/>
      <c r="ZT7" s="97"/>
      <c r="ZU7" s="98"/>
      <c r="ZV7" s="96"/>
      <c r="ZW7" s="154"/>
      <c r="ZX7" s="155"/>
      <c r="ZY7" s="153"/>
      <c r="ZZ7" s="97"/>
      <c r="AAA7" s="98"/>
      <c r="AAB7" s="96"/>
      <c r="AAC7" s="97"/>
      <c r="AAD7" s="98"/>
      <c r="AAE7" s="96"/>
      <c r="AAF7" s="97"/>
      <c r="AAG7" s="98"/>
      <c r="AAH7" s="96"/>
      <c r="AAI7" s="97"/>
      <c r="AAJ7" s="98"/>
      <c r="AAK7" s="96"/>
      <c r="AAL7" s="97"/>
      <c r="AAM7" s="98"/>
      <c r="AAN7" s="96"/>
      <c r="AAO7" s="97"/>
      <c r="AAP7" s="98"/>
      <c r="AAQ7" s="96"/>
      <c r="AAR7" s="97"/>
      <c r="AAS7" s="98"/>
      <c r="AAT7" s="96"/>
      <c r="AAU7" s="99"/>
      <c r="AAV7" s="95"/>
      <c r="AAW7" s="96"/>
      <c r="AAX7" s="97"/>
      <c r="AAY7" s="98"/>
      <c r="AAZ7" s="96"/>
      <c r="ABA7" s="97"/>
      <c r="ABB7" s="98"/>
      <c r="ABC7" s="96"/>
      <c r="ABD7" s="97"/>
      <c r="ABE7" s="98"/>
      <c r="ABF7" s="96"/>
      <c r="ABG7" s="97"/>
      <c r="ABH7" s="98"/>
      <c r="ABI7" s="96"/>
      <c r="ABJ7" s="97"/>
      <c r="ABK7" s="98"/>
      <c r="ABL7" s="96"/>
      <c r="ABM7" s="97"/>
      <c r="ABN7" s="98"/>
      <c r="ABO7" s="96"/>
      <c r="ABP7" s="97"/>
      <c r="ABQ7" s="98"/>
      <c r="ABR7" s="96"/>
      <c r="ABS7" s="97"/>
      <c r="ABT7" s="98"/>
      <c r="ABU7" s="96"/>
      <c r="ABV7" s="97"/>
      <c r="ABW7" s="98"/>
      <c r="ABX7" s="96"/>
      <c r="ABY7" s="97"/>
      <c r="ABZ7" s="98"/>
      <c r="ACA7" s="96"/>
      <c r="ACB7" s="97"/>
      <c r="ACC7" s="98"/>
      <c r="ACD7" s="96"/>
      <c r="ACE7" s="97"/>
      <c r="ACF7" s="98"/>
      <c r="ACG7" s="96"/>
      <c r="ACH7" s="97"/>
      <c r="ACI7" s="98"/>
      <c r="ACJ7" s="96"/>
      <c r="ACK7" s="97"/>
      <c r="ACL7" s="98"/>
      <c r="ACM7" s="96"/>
      <c r="ACN7" s="97"/>
      <c r="ACO7" s="98"/>
      <c r="ACP7" s="96"/>
      <c r="ACQ7" s="97"/>
      <c r="ACR7" s="98"/>
      <c r="ACS7" s="96"/>
      <c r="ACT7" s="97"/>
      <c r="ACU7" s="98"/>
      <c r="ACV7" s="96"/>
      <c r="ACW7" s="97"/>
      <c r="ACX7" s="98"/>
      <c r="ACY7" s="96"/>
      <c r="ACZ7" s="97"/>
      <c r="ADA7" s="98"/>
      <c r="ADB7" s="96"/>
      <c r="ADC7" s="97"/>
      <c r="ADD7" s="98"/>
      <c r="ADE7" s="96"/>
      <c r="ADF7" s="97"/>
      <c r="ADG7" s="98"/>
      <c r="ADH7" s="96"/>
      <c r="ADI7" s="97"/>
      <c r="ADJ7" s="98"/>
      <c r="ADK7" s="96"/>
      <c r="ADL7" s="97"/>
      <c r="ADM7" s="98"/>
      <c r="ADN7" s="96"/>
      <c r="ADO7" s="97"/>
      <c r="ADP7" s="98"/>
      <c r="ADQ7" s="96"/>
      <c r="ADR7" s="97"/>
      <c r="ADS7" s="98"/>
      <c r="ADT7" s="96"/>
      <c r="ADU7" s="97"/>
      <c r="ADV7" s="98"/>
      <c r="ADW7" s="96"/>
      <c r="ADX7" s="97"/>
      <c r="ADY7" s="98"/>
      <c r="ADZ7" s="96"/>
      <c r="AEA7" s="97"/>
      <c r="AEB7" s="98"/>
      <c r="AEC7" s="96"/>
      <c r="AED7" s="97"/>
      <c r="AEE7" s="98"/>
      <c r="AEF7" s="96"/>
      <c r="AEG7" s="99"/>
    </row>
    <row r="8" spans="1:813" ht="19.5" customHeight="1" thickBot="1" x14ac:dyDescent="0.3">
      <c r="B8" s="191"/>
      <c r="C8" s="107">
        <v>10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50"/>
      <c r="AN8" s="151"/>
      <c r="AO8" s="149"/>
      <c r="AP8" s="150"/>
      <c r="AQ8" s="151"/>
      <c r="AR8" s="149"/>
      <c r="AS8" s="150"/>
      <c r="AT8" s="151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51"/>
      <c r="BP8" s="149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03"/>
      <c r="EL8" s="104"/>
      <c r="EM8" s="102"/>
      <c r="EN8" s="103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5"/>
      <c r="GB8" s="101"/>
      <c r="GC8" s="102"/>
      <c r="GD8" s="103"/>
      <c r="GE8" s="104"/>
      <c r="GF8" s="102"/>
      <c r="GG8" s="103"/>
      <c r="GH8" s="104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5"/>
      <c r="JN8" s="101"/>
      <c r="JO8" s="102"/>
      <c r="JP8" s="103"/>
      <c r="JQ8" s="104"/>
      <c r="JR8" s="102"/>
      <c r="JS8" s="103"/>
      <c r="JT8" s="104"/>
      <c r="JU8" s="102"/>
      <c r="JV8" s="103"/>
      <c r="JW8" s="104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5"/>
      <c r="MZ8" s="101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3"/>
      <c r="NL8" s="104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5"/>
      <c r="QL8" s="101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3"/>
      <c r="RA8" s="104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5"/>
      <c r="TX8" s="101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3"/>
      <c r="UP8" s="104"/>
      <c r="UQ8" s="102"/>
      <c r="UR8" s="103"/>
      <c r="US8" s="104"/>
      <c r="UT8" s="102"/>
      <c r="UU8" s="103"/>
      <c r="UV8" s="104"/>
      <c r="UW8" s="102"/>
      <c r="UX8" s="103"/>
      <c r="UY8" s="104"/>
      <c r="UZ8" s="102"/>
      <c r="VA8" s="103"/>
      <c r="VB8" s="104"/>
      <c r="VC8" s="102"/>
      <c r="VD8" s="103"/>
      <c r="VE8" s="104"/>
      <c r="VF8" s="102"/>
      <c r="VG8" s="103"/>
      <c r="VH8" s="104"/>
      <c r="VI8" s="102"/>
      <c r="VJ8" s="103"/>
      <c r="VK8" s="104"/>
      <c r="VL8" s="102"/>
      <c r="VM8" s="103"/>
      <c r="VN8" s="104"/>
      <c r="VO8" s="102"/>
      <c r="VP8" s="103"/>
      <c r="VQ8" s="104"/>
      <c r="VR8" s="102"/>
      <c r="VS8" s="103"/>
      <c r="VT8" s="104"/>
      <c r="VU8" s="102"/>
      <c r="VV8" s="103"/>
      <c r="VW8" s="104"/>
      <c r="VX8" s="102"/>
      <c r="VY8" s="103"/>
      <c r="VZ8" s="104"/>
      <c r="WA8" s="102"/>
      <c r="WB8" s="103"/>
      <c r="WC8" s="104"/>
      <c r="WD8" s="102"/>
      <c r="WE8" s="103"/>
      <c r="WF8" s="104"/>
      <c r="WG8" s="102"/>
      <c r="WH8" s="103"/>
      <c r="WI8" s="104"/>
      <c r="WJ8" s="102"/>
      <c r="WK8" s="103"/>
      <c r="WL8" s="104"/>
      <c r="WM8" s="102"/>
      <c r="WN8" s="103"/>
      <c r="WO8" s="104"/>
      <c r="WP8" s="102"/>
      <c r="WQ8" s="103"/>
      <c r="WR8" s="104"/>
      <c r="WS8" s="102"/>
      <c r="WT8" s="103"/>
      <c r="WU8" s="104"/>
      <c r="WV8" s="102"/>
      <c r="WW8" s="103"/>
      <c r="WX8" s="104"/>
      <c r="WY8" s="102"/>
      <c r="WZ8" s="103"/>
      <c r="XA8" s="104"/>
      <c r="XB8" s="102"/>
      <c r="XC8" s="103"/>
      <c r="XD8" s="104"/>
      <c r="XE8" s="102"/>
      <c r="XF8" s="103"/>
      <c r="XG8" s="104"/>
      <c r="XH8" s="102"/>
      <c r="XI8" s="105"/>
      <c r="XJ8" s="101"/>
      <c r="XK8" s="102"/>
      <c r="XL8" s="103"/>
      <c r="XM8" s="104"/>
      <c r="XN8" s="102"/>
      <c r="XO8" s="103"/>
      <c r="XP8" s="104"/>
      <c r="XQ8" s="102"/>
      <c r="XR8" s="103"/>
      <c r="XS8" s="104"/>
      <c r="XT8" s="102"/>
      <c r="XU8" s="103"/>
      <c r="XV8" s="104"/>
      <c r="XW8" s="102"/>
      <c r="XX8" s="103"/>
      <c r="XY8" s="104"/>
      <c r="XZ8" s="102"/>
      <c r="YA8" s="103"/>
      <c r="YB8" s="104"/>
      <c r="YC8" s="102"/>
      <c r="YD8" s="103"/>
      <c r="YE8" s="104"/>
      <c r="YF8" s="102"/>
      <c r="YG8" s="103"/>
      <c r="YH8" s="104"/>
      <c r="YI8" s="102"/>
      <c r="YJ8" s="103"/>
      <c r="YK8" s="104"/>
      <c r="YL8" s="102"/>
      <c r="YM8" s="103"/>
      <c r="YN8" s="104"/>
      <c r="YO8" s="102"/>
      <c r="YP8" s="103"/>
      <c r="YQ8" s="104"/>
      <c r="YR8" s="102"/>
      <c r="YS8" s="103"/>
      <c r="YT8" s="104"/>
      <c r="YU8" s="102"/>
      <c r="YV8" s="103"/>
      <c r="YW8" s="104"/>
      <c r="YX8" s="102"/>
      <c r="YY8" s="103"/>
      <c r="YZ8" s="104"/>
      <c r="ZA8" s="102"/>
      <c r="ZB8" s="103"/>
      <c r="ZC8" s="104"/>
      <c r="ZD8" s="102"/>
      <c r="ZE8" s="103"/>
      <c r="ZF8" s="104"/>
      <c r="ZG8" s="102"/>
      <c r="ZH8" s="103"/>
      <c r="ZI8" s="104"/>
      <c r="ZJ8" s="102"/>
      <c r="ZK8" s="103"/>
      <c r="ZL8" s="104"/>
      <c r="ZM8" s="102"/>
      <c r="ZN8" s="103"/>
      <c r="ZO8" s="104"/>
      <c r="ZP8" s="102"/>
      <c r="ZQ8" s="103"/>
      <c r="ZR8" s="104"/>
      <c r="ZS8" s="102"/>
      <c r="ZT8" s="103"/>
      <c r="ZU8" s="104"/>
      <c r="ZV8" s="102"/>
      <c r="ZW8" s="103"/>
      <c r="ZX8" s="104"/>
      <c r="ZY8" s="102"/>
      <c r="ZZ8" s="103"/>
      <c r="AAA8" s="104"/>
      <c r="AAB8" s="102"/>
      <c r="AAC8" s="103"/>
      <c r="AAD8" s="104"/>
      <c r="AAE8" s="102"/>
      <c r="AAF8" s="103"/>
      <c r="AAG8" s="104"/>
      <c r="AAH8" s="102"/>
      <c r="AAI8" s="103"/>
      <c r="AAJ8" s="104"/>
      <c r="AAK8" s="102"/>
      <c r="AAL8" s="103"/>
      <c r="AAM8" s="104"/>
      <c r="AAN8" s="102"/>
      <c r="AAO8" s="103"/>
      <c r="AAP8" s="104"/>
      <c r="AAQ8" s="102"/>
      <c r="AAR8" s="103"/>
      <c r="AAS8" s="104"/>
      <c r="AAT8" s="102"/>
      <c r="AAU8" s="105"/>
      <c r="AAV8" s="101"/>
      <c r="AAW8" s="102"/>
      <c r="AAX8" s="103"/>
      <c r="AAY8" s="104"/>
      <c r="AAZ8" s="102"/>
      <c r="ABA8" s="103"/>
      <c r="ABB8" s="104"/>
      <c r="ABC8" s="102"/>
      <c r="ABD8" s="103"/>
      <c r="ABE8" s="104"/>
      <c r="ABF8" s="102"/>
      <c r="ABG8" s="103"/>
      <c r="ABH8" s="104"/>
      <c r="ABI8" s="102"/>
      <c r="ABJ8" s="103"/>
      <c r="ABK8" s="104"/>
      <c r="ABL8" s="102"/>
      <c r="ABM8" s="103"/>
      <c r="ABN8" s="104"/>
      <c r="ABO8" s="102"/>
      <c r="ABP8" s="103"/>
      <c r="ABQ8" s="104"/>
      <c r="ABR8" s="102"/>
      <c r="ABS8" s="103"/>
      <c r="ABT8" s="104"/>
      <c r="ABU8" s="102"/>
      <c r="ABV8" s="103"/>
      <c r="ABW8" s="104"/>
      <c r="ABX8" s="102"/>
      <c r="ABY8" s="103"/>
      <c r="ABZ8" s="104"/>
      <c r="ACA8" s="102"/>
      <c r="ACB8" s="103"/>
      <c r="ACC8" s="104"/>
      <c r="ACD8" s="102"/>
      <c r="ACE8" s="103"/>
      <c r="ACF8" s="104"/>
      <c r="ACG8" s="102"/>
      <c r="ACH8" s="103"/>
      <c r="ACI8" s="104"/>
      <c r="ACJ8" s="102"/>
      <c r="ACK8" s="103"/>
      <c r="ACL8" s="104"/>
      <c r="ACM8" s="102"/>
      <c r="ACN8" s="103"/>
      <c r="ACO8" s="104"/>
      <c r="ACP8" s="102"/>
      <c r="ACQ8" s="103"/>
      <c r="ACR8" s="104"/>
      <c r="ACS8" s="102"/>
      <c r="ACT8" s="103"/>
      <c r="ACU8" s="104"/>
      <c r="ACV8" s="102"/>
      <c r="ACW8" s="103"/>
      <c r="ACX8" s="104"/>
      <c r="ACY8" s="102"/>
      <c r="ACZ8" s="103"/>
      <c r="ADA8" s="104"/>
      <c r="ADB8" s="102"/>
      <c r="ADC8" s="103"/>
      <c r="ADD8" s="104"/>
      <c r="ADE8" s="102"/>
      <c r="ADF8" s="103"/>
      <c r="ADG8" s="104"/>
      <c r="ADH8" s="102"/>
      <c r="ADI8" s="103"/>
      <c r="ADJ8" s="104"/>
      <c r="ADK8" s="102"/>
      <c r="ADL8" s="103"/>
      <c r="ADM8" s="104"/>
      <c r="ADN8" s="102"/>
      <c r="ADO8" s="103"/>
      <c r="ADP8" s="104"/>
      <c r="ADQ8" s="102"/>
      <c r="ADR8" s="103"/>
      <c r="ADS8" s="104"/>
      <c r="ADT8" s="102"/>
      <c r="ADU8" s="103"/>
      <c r="ADV8" s="104"/>
      <c r="ADW8" s="102"/>
      <c r="ADX8" s="103"/>
      <c r="ADY8" s="104"/>
      <c r="ADZ8" s="102"/>
      <c r="AEA8" s="103"/>
      <c r="AEB8" s="104"/>
      <c r="AEC8" s="102"/>
      <c r="AED8" s="103"/>
      <c r="AEE8" s="104"/>
      <c r="AEF8" s="102"/>
      <c r="AEG8" s="105"/>
    </row>
    <row r="9" spans="1:813" ht="19.5" customHeight="1" x14ac:dyDescent="0.25">
      <c r="B9" s="190" t="str">
        <f>Donnees!$C$23</f>
        <v>Rédaction Présentation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9"/>
      <c r="GB9" s="95"/>
      <c r="GC9" s="96"/>
      <c r="GD9" s="97"/>
      <c r="GE9" s="98"/>
      <c r="GF9" s="96"/>
      <c r="GG9" s="97"/>
      <c r="GH9" s="98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9"/>
      <c r="JN9" s="95"/>
      <c r="JO9" s="96"/>
      <c r="JP9" s="97"/>
      <c r="JQ9" s="98"/>
      <c r="JR9" s="96"/>
      <c r="JS9" s="97"/>
      <c r="JT9" s="98"/>
      <c r="JU9" s="96"/>
      <c r="JV9" s="97"/>
      <c r="JW9" s="98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9"/>
      <c r="MZ9" s="95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7"/>
      <c r="NL9" s="98"/>
      <c r="NM9" s="96"/>
      <c r="NN9" s="97"/>
      <c r="NO9" s="98"/>
      <c r="NP9" s="96"/>
      <c r="NQ9" s="97"/>
      <c r="NR9" s="98"/>
      <c r="NS9" s="96"/>
      <c r="NT9" s="97"/>
      <c r="NU9" s="98"/>
      <c r="NV9" s="96"/>
      <c r="NW9" s="97"/>
      <c r="NX9" s="98"/>
      <c r="NY9" s="96"/>
      <c r="NZ9" s="97"/>
      <c r="OA9" s="98"/>
      <c r="OB9" s="96"/>
      <c r="OC9" s="97"/>
      <c r="OD9" s="98"/>
      <c r="OE9" s="96"/>
      <c r="OF9" s="97"/>
      <c r="OG9" s="98"/>
      <c r="OH9" s="96"/>
      <c r="OI9" s="97"/>
      <c r="OJ9" s="98"/>
      <c r="OK9" s="96"/>
      <c r="OL9" s="97"/>
      <c r="OM9" s="98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9"/>
      <c r="QL9" s="95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7"/>
      <c r="RA9" s="98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9"/>
      <c r="TX9" s="95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7"/>
      <c r="UP9" s="98"/>
      <c r="UQ9" s="96"/>
      <c r="UR9" s="97"/>
      <c r="US9" s="98"/>
      <c r="UT9" s="96"/>
      <c r="UU9" s="97"/>
      <c r="UV9" s="98"/>
      <c r="UW9" s="96"/>
      <c r="UX9" s="97"/>
      <c r="UY9" s="98"/>
      <c r="UZ9" s="96"/>
      <c r="VA9" s="97"/>
      <c r="VB9" s="98"/>
      <c r="VC9" s="96"/>
      <c r="VD9" s="97"/>
      <c r="VE9" s="98"/>
      <c r="VF9" s="96"/>
      <c r="VG9" s="97"/>
      <c r="VH9" s="98"/>
      <c r="VI9" s="96"/>
      <c r="VJ9" s="97"/>
      <c r="VK9" s="98"/>
      <c r="VL9" s="96"/>
      <c r="VM9" s="97"/>
      <c r="VN9" s="98"/>
      <c r="VO9" s="96"/>
      <c r="VP9" s="97"/>
      <c r="VQ9" s="98"/>
      <c r="VR9" s="96"/>
      <c r="VS9" s="97"/>
      <c r="VT9" s="98"/>
      <c r="VU9" s="96"/>
      <c r="VV9" s="97"/>
      <c r="VW9" s="98"/>
      <c r="VX9" s="96"/>
      <c r="VY9" s="97"/>
      <c r="VZ9" s="98"/>
      <c r="WA9" s="96"/>
      <c r="WB9" s="97"/>
      <c r="WC9" s="98"/>
      <c r="WD9" s="96"/>
      <c r="WE9" s="97"/>
      <c r="WF9" s="98"/>
      <c r="WG9" s="96"/>
      <c r="WH9" s="97"/>
      <c r="WI9" s="98"/>
      <c r="WJ9" s="96"/>
      <c r="WK9" s="97"/>
      <c r="WL9" s="98"/>
      <c r="WM9" s="96"/>
      <c r="WN9" s="97"/>
      <c r="WO9" s="98"/>
      <c r="WP9" s="96"/>
      <c r="WQ9" s="97"/>
      <c r="WR9" s="98"/>
      <c r="WS9" s="96"/>
      <c r="WT9" s="97"/>
      <c r="WU9" s="98"/>
      <c r="WV9" s="96"/>
      <c r="WW9" s="97"/>
      <c r="WX9" s="98"/>
      <c r="WY9" s="96"/>
      <c r="WZ9" s="97"/>
      <c r="XA9" s="98"/>
      <c r="XB9" s="96"/>
      <c r="XC9" s="97"/>
      <c r="XD9" s="98"/>
      <c r="XE9" s="96"/>
      <c r="XF9" s="97"/>
      <c r="XG9" s="98"/>
      <c r="XH9" s="96"/>
      <c r="XI9" s="99"/>
      <c r="XJ9" s="95"/>
      <c r="XK9" s="96"/>
      <c r="XL9" s="97"/>
      <c r="XM9" s="98"/>
      <c r="XN9" s="96"/>
      <c r="XO9" s="97"/>
      <c r="XP9" s="98"/>
      <c r="XQ9" s="96"/>
      <c r="XR9" s="97"/>
      <c r="XS9" s="98"/>
      <c r="XT9" s="96"/>
      <c r="XU9" s="97"/>
      <c r="XV9" s="98"/>
      <c r="XW9" s="96"/>
      <c r="XX9" s="97"/>
      <c r="XY9" s="98"/>
      <c r="XZ9" s="96"/>
      <c r="YA9" s="97"/>
      <c r="YB9" s="98"/>
      <c r="YC9" s="96"/>
      <c r="YD9" s="97"/>
      <c r="YE9" s="98"/>
      <c r="YF9" s="96"/>
      <c r="YG9" s="97"/>
      <c r="YH9" s="98"/>
      <c r="YI9" s="96"/>
      <c r="YJ9" s="97"/>
      <c r="YK9" s="98"/>
      <c r="YL9" s="96"/>
      <c r="YM9" s="97"/>
      <c r="YN9" s="98"/>
      <c r="YO9" s="96"/>
      <c r="YP9" s="97"/>
      <c r="YQ9" s="98"/>
      <c r="YR9" s="96"/>
      <c r="YS9" s="97"/>
      <c r="YT9" s="98"/>
      <c r="YU9" s="96"/>
      <c r="YV9" s="97"/>
      <c r="YW9" s="98"/>
      <c r="YX9" s="96"/>
      <c r="YY9" s="97"/>
      <c r="YZ9" s="98"/>
      <c r="ZA9" s="96"/>
      <c r="ZB9" s="97"/>
      <c r="ZC9" s="98"/>
      <c r="ZD9" s="96"/>
      <c r="ZE9" s="97"/>
      <c r="ZF9" s="98"/>
      <c r="ZG9" s="96"/>
      <c r="ZH9" s="97"/>
      <c r="ZI9" s="98"/>
      <c r="ZJ9" s="96"/>
      <c r="ZK9" s="97"/>
      <c r="ZL9" s="98"/>
      <c r="ZM9" s="96"/>
      <c r="ZN9" s="97"/>
      <c r="ZO9" s="98"/>
      <c r="ZP9" s="96"/>
      <c r="ZQ9" s="97"/>
      <c r="ZR9" s="98"/>
      <c r="ZS9" s="96"/>
      <c r="ZT9" s="97"/>
      <c r="ZU9" s="98"/>
      <c r="ZV9" s="96"/>
      <c r="ZW9" s="97"/>
      <c r="ZX9" s="98"/>
      <c r="ZY9" s="96"/>
      <c r="ZZ9" s="97"/>
      <c r="AAA9" s="98"/>
      <c r="AAB9" s="96"/>
      <c r="AAC9" s="97"/>
      <c r="AAD9" s="98"/>
      <c r="AAE9" s="96"/>
      <c r="AAF9" s="97"/>
      <c r="AAG9" s="98"/>
      <c r="AAH9" s="96"/>
      <c r="AAI9" s="97"/>
      <c r="AAJ9" s="98"/>
      <c r="AAK9" s="96"/>
      <c r="AAL9" s="97"/>
      <c r="AAM9" s="98"/>
      <c r="AAN9" s="96"/>
      <c r="AAO9" s="97"/>
      <c r="AAP9" s="98"/>
      <c r="AAQ9" s="96"/>
      <c r="AAR9" s="97"/>
      <c r="AAS9" s="98"/>
      <c r="AAT9" s="96"/>
      <c r="AAU9" s="99"/>
      <c r="AAV9" s="95"/>
      <c r="AAW9" s="96"/>
      <c r="AAX9" s="97"/>
      <c r="AAY9" s="98"/>
      <c r="AAZ9" s="96"/>
      <c r="ABA9" s="97"/>
      <c r="ABB9" s="98"/>
      <c r="ABC9" s="96"/>
      <c r="ABD9" s="97"/>
      <c r="ABE9" s="98"/>
      <c r="ABF9" s="96"/>
      <c r="ABG9" s="97"/>
      <c r="ABH9" s="98"/>
      <c r="ABI9" s="96"/>
      <c r="ABJ9" s="97"/>
      <c r="ABK9" s="98"/>
      <c r="ABL9" s="96"/>
      <c r="ABM9" s="97"/>
      <c r="ABN9" s="98"/>
      <c r="ABO9" s="96"/>
      <c r="ABP9" s="97"/>
      <c r="ABQ9" s="98"/>
      <c r="ABR9" s="96"/>
      <c r="ABS9" s="97"/>
      <c r="ABT9" s="98"/>
      <c r="ABU9" s="96"/>
      <c r="ABV9" s="97"/>
      <c r="ABW9" s="98"/>
      <c r="ABX9" s="96"/>
      <c r="ABY9" s="97"/>
      <c r="ABZ9" s="98"/>
      <c r="ACA9" s="96"/>
      <c r="ACB9" s="97"/>
      <c r="ACC9" s="98"/>
      <c r="ACD9" s="96"/>
      <c r="ACE9" s="97"/>
      <c r="ACF9" s="98"/>
      <c r="ACG9" s="96"/>
      <c r="ACH9" s="97"/>
      <c r="ACI9" s="98"/>
      <c r="ACJ9" s="96"/>
      <c r="ACK9" s="97"/>
      <c r="ACL9" s="98"/>
      <c r="ACM9" s="96"/>
      <c r="ACN9" s="97"/>
      <c r="ACO9" s="98"/>
      <c r="ACP9" s="96"/>
      <c r="ACQ9" s="97"/>
      <c r="ACR9" s="98"/>
      <c r="ACS9" s="96"/>
      <c r="ACT9" s="97"/>
      <c r="ACU9" s="98"/>
      <c r="ACV9" s="96"/>
      <c r="ACW9" s="97"/>
      <c r="ACX9" s="98"/>
      <c r="ACY9" s="96"/>
      <c r="ACZ9" s="97"/>
      <c r="ADA9" s="98"/>
      <c r="ADB9" s="96"/>
      <c r="ADC9" s="97"/>
      <c r="ADD9" s="98"/>
      <c r="ADE9" s="96"/>
      <c r="ADF9" s="97"/>
      <c r="ADG9" s="98"/>
      <c r="ADH9" s="96"/>
      <c r="ADI9" s="97"/>
      <c r="ADJ9" s="98"/>
      <c r="ADK9" s="96"/>
      <c r="ADL9" s="97"/>
      <c r="ADM9" s="98"/>
      <c r="ADN9" s="96"/>
      <c r="ADO9" s="97"/>
      <c r="ADP9" s="98"/>
      <c r="ADQ9" s="96"/>
      <c r="ADR9" s="97"/>
      <c r="ADS9" s="98"/>
      <c r="ADT9" s="96"/>
      <c r="ADU9" s="97"/>
      <c r="ADV9" s="98"/>
      <c r="ADW9" s="96"/>
      <c r="ADX9" s="97"/>
      <c r="ADY9" s="98"/>
      <c r="ADZ9" s="96"/>
      <c r="AEA9" s="97"/>
      <c r="AEB9" s="98"/>
      <c r="AEC9" s="96"/>
      <c r="AED9" s="97"/>
      <c r="AEE9" s="98"/>
      <c r="AEF9" s="96"/>
      <c r="AEG9" s="99"/>
    </row>
    <row r="10" spans="1:813" ht="19.5" customHeight="1" thickBot="1" x14ac:dyDescent="0.3">
      <c r="B10" s="191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5"/>
      <c r="GB10" s="101"/>
      <c r="GC10" s="102"/>
      <c r="GD10" s="103"/>
      <c r="GE10" s="104"/>
      <c r="GF10" s="102"/>
      <c r="GG10" s="103"/>
      <c r="GH10" s="104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5"/>
      <c r="JN10" s="101"/>
      <c r="JO10" s="102"/>
      <c r="JP10" s="103"/>
      <c r="JQ10" s="104"/>
      <c r="JR10" s="102"/>
      <c r="JS10" s="103"/>
      <c r="JT10" s="104"/>
      <c r="JU10" s="102"/>
      <c r="JV10" s="103"/>
      <c r="JW10" s="104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5"/>
      <c r="MZ10" s="101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3"/>
      <c r="NL10" s="104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5"/>
      <c r="QL10" s="101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3"/>
      <c r="RA10" s="104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5"/>
      <c r="TX10" s="101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3"/>
      <c r="UP10" s="104"/>
      <c r="UQ10" s="102"/>
      <c r="UR10" s="103"/>
      <c r="US10" s="104"/>
      <c r="UT10" s="102"/>
      <c r="UU10" s="103"/>
      <c r="UV10" s="104"/>
      <c r="UW10" s="102"/>
      <c r="UX10" s="103"/>
      <c r="UY10" s="104"/>
      <c r="UZ10" s="102"/>
      <c r="VA10" s="103"/>
      <c r="VB10" s="104"/>
      <c r="VC10" s="102"/>
      <c r="VD10" s="103"/>
      <c r="VE10" s="104"/>
      <c r="VF10" s="102"/>
      <c r="VG10" s="103"/>
      <c r="VH10" s="104"/>
      <c r="VI10" s="102"/>
      <c r="VJ10" s="103"/>
      <c r="VK10" s="104"/>
      <c r="VL10" s="102"/>
      <c r="VM10" s="103"/>
      <c r="VN10" s="104"/>
      <c r="VO10" s="102"/>
      <c r="VP10" s="103"/>
      <c r="VQ10" s="104"/>
      <c r="VR10" s="102"/>
      <c r="VS10" s="103"/>
      <c r="VT10" s="104"/>
      <c r="VU10" s="102"/>
      <c r="VV10" s="103"/>
      <c r="VW10" s="104"/>
      <c r="VX10" s="102"/>
      <c r="VY10" s="103"/>
      <c r="VZ10" s="104"/>
      <c r="WA10" s="102"/>
      <c r="WB10" s="103"/>
      <c r="WC10" s="104"/>
      <c r="WD10" s="102"/>
      <c r="WE10" s="103"/>
      <c r="WF10" s="104"/>
      <c r="WG10" s="102"/>
      <c r="WH10" s="103"/>
      <c r="WI10" s="104"/>
      <c r="WJ10" s="102"/>
      <c r="WK10" s="103"/>
      <c r="WL10" s="104"/>
      <c r="WM10" s="102"/>
      <c r="WN10" s="103"/>
      <c r="WO10" s="104"/>
      <c r="WP10" s="102"/>
      <c r="WQ10" s="103"/>
      <c r="WR10" s="104"/>
      <c r="WS10" s="102"/>
      <c r="WT10" s="103"/>
      <c r="WU10" s="104"/>
      <c r="WV10" s="102"/>
      <c r="WW10" s="103"/>
      <c r="WX10" s="104"/>
      <c r="WY10" s="102"/>
      <c r="WZ10" s="103"/>
      <c r="XA10" s="104"/>
      <c r="XB10" s="102"/>
      <c r="XC10" s="103"/>
      <c r="XD10" s="104"/>
      <c r="XE10" s="102"/>
      <c r="XF10" s="103"/>
      <c r="XG10" s="104"/>
      <c r="XH10" s="102"/>
      <c r="XI10" s="105"/>
      <c r="XJ10" s="101"/>
      <c r="XK10" s="102"/>
      <c r="XL10" s="103"/>
      <c r="XM10" s="104"/>
      <c r="XN10" s="102"/>
      <c r="XO10" s="103"/>
      <c r="XP10" s="104"/>
      <c r="XQ10" s="102"/>
      <c r="XR10" s="103"/>
      <c r="XS10" s="104"/>
      <c r="XT10" s="102"/>
      <c r="XU10" s="103"/>
      <c r="XV10" s="104"/>
      <c r="XW10" s="102"/>
      <c r="XX10" s="103"/>
      <c r="XY10" s="104"/>
      <c r="XZ10" s="102"/>
      <c r="YA10" s="103"/>
      <c r="YB10" s="104"/>
      <c r="YC10" s="102"/>
      <c r="YD10" s="103"/>
      <c r="YE10" s="104"/>
      <c r="YF10" s="102"/>
      <c r="YG10" s="103"/>
      <c r="YH10" s="104"/>
      <c r="YI10" s="102"/>
      <c r="YJ10" s="103"/>
      <c r="YK10" s="104"/>
      <c r="YL10" s="102"/>
      <c r="YM10" s="103"/>
      <c r="YN10" s="104"/>
      <c r="YO10" s="102"/>
      <c r="YP10" s="103"/>
      <c r="YQ10" s="104"/>
      <c r="YR10" s="102"/>
      <c r="YS10" s="103"/>
      <c r="YT10" s="104"/>
      <c r="YU10" s="102"/>
      <c r="YV10" s="103"/>
      <c r="YW10" s="104"/>
      <c r="YX10" s="102"/>
      <c r="YY10" s="103"/>
      <c r="YZ10" s="104"/>
      <c r="ZA10" s="102"/>
      <c r="ZB10" s="103"/>
      <c r="ZC10" s="104"/>
      <c r="ZD10" s="102"/>
      <c r="ZE10" s="103"/>
      <c r="ZF10" s="104"/>
      <c r="ZG10" s="102"/>
      <c r="ZH10" s="103"/>
      <c r="ZI10" s="104"/>
      <c r="ZJ10" s="102"/>
      <c r="ZK10" s="103"/>
      <c r="ZL10" s="104"/>
      <c r="ZM10" s="102"/>
      <c r="ZN10" s="103"/>
      <c r="ZO10" s="104"/>
      <c r="ZP10" s="102"/>
      <c r="ZQ10" s="103"/>
      <c r="ZR10" s="104"/>
      <c r="ZS10" s="102"/>
      <c r="ZT10" s="103"/>
      <c r="ZU10" s="104"/>
      <c r="ZV10" s="102"/>
      <c r="ZW10" s="103"/>
      <c r="ZX10" s="104"/>
      <c r="ZY10" s="102"/>
      <c r="ZZ10" s="103"/>
      <c r="AAA10" s="104"/>
      <c r="AAB10" s="102"/>
      <c r="AAC10" s="103"/>
      <c r="AAD10" s="104"/>
      <c r="AAE10" s="102"/>
      <c r="AAF10" s="103"/>
      <c r="AAG10" s="104"/>
      <c r="AAH10" s="102"/>
      <c r="AAI10" s="103"/>
      <c r="AAJ10" s="104"/>
      <c r="AAK10" s="102"/>
      <c r="AAL10" s="103"/>
      <c r="AAM10" s="104"/>
      <c r="AAN10" s="102"/>
      <c r="AAO10" s="103"/>
      <c r="AAP10" s="104"/>
      <c r="AAQ10" s="102"/>
      <c r="AAR10" s="103"/>
      <c r="AAS10" s="104"/>
      <c r="AAT10" s="102"/>
      <c r="AAU10" s="105"/>
      <c r="AAV10" s="101"/>
      <c r="AAW10" s="102"/>
      <c r="AAX10" s="103"/>
      <c r="AAY10" s="104"/>
      <c r="AAZ10" s="102"/>
      <c r="ABA10" s="103"/>
      <c r="ABB10" s="104"/>
      <c r="ABC10" s="102"/>
      <c r="ABD10" s="103"/>
      <c r="ABE10" s="104"/>
      <c r="ABF10" s="102"/>
      <c r="ABG10" s="103"/>
      <c r="ABH10" s="104"/>
      <c r="ABI10" s="102"/>
      <c r="ABJ10" s="103"/>
      <c r="ABK10" s="104"/>
      <c r="ABL10" s="102"/>
      <c r="ABM10" s="103"/>
      <c r="ABN10" s="104"/>
      <c r="ABO10" s="102"/>
      <c r="ABP10" s="103"/>
      <c r="ABQ10" s="104"/>
      <c r="ABR10" s="102"/>
      <c r="ABS10" s="103"/>
      <c r="ABT10" s="104"/>
      <c r="ABU10" s="102"/>
      <c r="ABV10" s="103"/>
      <c r="ABW10" s="104"/>
      <c r="ABX10" s="102"/>
      <c r="ABY10" s="103"/>
      <c r="ABZ10" s="104"/>
      <c r="ACA10" s="102"/>
      <c r="ACB10" s="103"/>
      <c r="ACC10" s="104"/>
      <c r="ACD10" s="102"/>
      <c r="ACE10" s="103"/>
      <c r="ACF10" s="104"/>
      <c r="ACG10" s="102"/>
      <c r="ACH10" s="103"/>
      <c r="ACI10" s="104"/>
      <c r="ACJ10" s="102"/>
      <c r="ACK10" s="103"/>
      <c r="ACL10" s="104"/>
      <c r="ACM10" s="102"/>
      <c r="ACN10" s="103"/>
      <c r="ACO10" s="104"/>
      <c r="ACP10" s="102"/>
      <c r="ACQ10" s="103"/>
      <c r="ACR10" s="104"/>
      <c r="ACS10" s="102"/>
      <c r="ACT10" s="103"/>
      <c r="ACU10" s="104"/>
      <c r="ACV10" s="102"/>
      <c r="ACW10" s="103"/>
      <c r="ACX10" s="104"/>
      <c r="ACY10" s="102"/>
      <c r="ACZ10" s="103"/>
      <c r="ADA10" s="104"/>
      <c r="ADB10" s="102"/>
      <c r="ADC10" s="103"/>
      <c r="ADD10" s="104"/>
      <c r="ADE10" s="102"/>
      <c r="ADF10" s="103"/>
      <c r="ADG10" s="104"/>
      <c r="ADH10" s="102"/>
      <c r="ADI10" s="103"/>
      <c r="ADJ10" s="104"/>
      <c r="ADK10" s="102"/>
      <c r="ADL10" s="103"/>
      <c r="ADM10" s="104"/>
      <c r="ADN10" s="102"/>
      <c r="ADO10" s="103"/>
      <c r="ADP10" s="104"/>
      <c r="ADQ10" s="102"/>
      <c r="ADR10" s="103"/>
      <c r="ADS10" s="104"/>
      <c r="ADT10" s="102"/>
      <c r="ADU10" s="103"/>
      <c r="ADV10" s="104"/>
      <c r="ADW10" s="102"/>
      <c r="ADX10" s="103"/>
      <c r="ADY10" s="104"/>
      <c r="ADZ10" s="102"/>
      <c r="AEA10" s="103"/>
      <c r="AEB10" s="104"/>
      <c r="AEC10" s="102"/>
      <c r="AED10" s="103"/>
      <c r="AEE10" s="104"/>
      <c r="AEF10" s="102"/>
      <c r="AEG10" s="105"/>
    </row>
    <row r="11" spans="1:813" ht="19.5" customHeight="1" x14ac:dyDescent="0.25">
      <c r="B11" s="190" t="str">
        <f>Donnees!$C$24</f>
        <v>INFORMER : Analyse du projet</v>
      </c>
      <c r="C11" s="106">
        <v>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154"/>
      <c r="S11" s="155"/>
      <c r="T11" s="153"/>
      <c r="U11" s="154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155"/>
      <c r="CN11" s="153"/>
      <c r="CO11" s="187"/>
      <c r="CP11" s="95"/>
      <c r="CQ11" s="96"/>
      <c r="CR11" s="97"/>
      <c r="CS11" s="98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9"/>
      <c r="GB11" s="95"/>
      <c r="GC11" s="96"/>
      <c r="GD11" s="97"/>
      <c r="GE11" s="98"/>
      <c r="GF11" s="96"/>
      <c r="GG11" s="97"/>
      <c r="GH11" s="98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9"/>
      <c r="JN11" s="95"/>
      <c r="JO11" s="96"/>
      <c r="JP11" s="97"/>
      <c r="JQ11" s="98"/>
      <c r="JR11" s="96"/>
      <c r="JS11" s="97"/>
      <c r="JT11" s="98"/>
      <c r="JU11" s="96"/>
      <c r="JV11" s="97"/>
      <c r="JW11" s="98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9"/>
      <c r="MZ11" s="95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7"/>
      <c r="NL11" s="98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9"/>
      <c r="QL11" s="95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7"/>
      <c r="RA11" s="98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9"/>
      <c r="TX11" s="95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7"/>
      <c r="UP11" s="98"/>
      <c r="UQ11" s="96"/>
      <c r="UR11" s="97"/>
      <c r="US11" s="98"/>
      <c r="UT11" s="96"/>
      <c r="UU11" s="97"/>
      <c r="UV11" s="98"/>
      <c r="UW11" s="96"/>
      <c r="UX11" s="97"/>
      <c r="UY11" s="98"/>
      <c r="UZ11" s="96"/>
      <c r="VA11" s="97"/>
      <c r="VB11" s="98"/>
      <c r="VC11" s="96"/>
      <c r="VD11" s="97"/>
      <c r="VE11" s="98"/>
      <c r="VF11" s="96"/>
      <c r="VG11" s="97"/>
      <c r="VH11" s="98"/>
      <c r="VI11" s="96"/>
      <c r="VJ11" s="97"/>
      <c r="VK11" s="98"/>
      <c r="VL11" s="96"/>
      <c r="VM11" s="97"/>
      <c r="VN11" s="98"/>
      <c r="VO11" s="96"/>
      <c r="VP11" s="97"/>
      <c r="VQ11" s="98"/>
      <c r="VR11" s="96"/>
      <c r="VS11" s="97"/>
      <c r="VT11" s="98"/>
      <c r="VU11" s="96"/>
      <c r="VV11" s="97"/>
      <c r="VW11" s="98"/>
      <c r="VX11" s="96"/>
      <c r="VY11" s="97"/>
      <c r="VZ11" s="98"/>
      <c r="WA11" s="96"/>
      <c r="WB11" s="97"/>
      <c r="WC11" s="98"/>
      <c r="WD11" s="96"/>
      <c r="WE11" s="97"/>
      <c r="WF11" s="98"/>
      <c r="WG11" s="96"/>
      <c r="WH11" s="97"/>
      <c r="WI11" s="98"/>
      <c r="WJ11" s="96"/>
      <c r="WK11" s="97"/>
      <c r="WL11" s="98"/>
      <c r="WM11" s="96"/>
      <c r="WN11" s="97"/>
      <c r="WO11" s="98"/>
      <c r="WP11" s="96"/>
      <c r="WQ11" s="97"/>
      <c r="WR11" s="98"/>
      <c r="WS11" s="96"/>
      <c r="WT11" s="97"/>
      <c r="WU11" s="98"/>
      <c r="WV11" s="96"/>
      <c r="WW11" s="97"/>
      <c r="WX11" s="98"/>
      <c r="WY11" s="96"/>
      <c r="WZ11" s="97"/>
      <c r="XA11" s="98"/>
      <c r="XB11" s="96"/>
      <c r="XC11" s="97"/>
      <c r="XD11" s="98"/>
      <c r="XE11" s="96"/>
      <c r="XF11" s="97"/>
      <c r="XG11" s="98"/>
      <c r="XH11" s="96"/>
      <c r="XI11" s="99"/>
      <c r="XJ11" s="95"/>
      <c r="XK11" s="96"/>
      <c r="XL11" s="97"/>
      <c r="XM11" s="98"/>
      <c r="XN11" s="96"/>
      <c r="XO11" s="97"/>
      <c r="XP11" s="98"/>
      <c r="XQ11" s="96"/>
      <c r="XR11" s="97"/>
      <c r="XS11" s="98"/>
      <c r="XT11" s="96"/>
      <c r="XU11" s="97"/>
      <c r="XV11" s="98"/>
      <c r="XW11" s="96"/>
      <c r="XX11" s="97"/>
      <c r="XY11" s="98"/>
      <c r="XZ11" s="96"/>
      <c r="YA11" s="97"/>
      <c r="YB11" s="98"/>
      <c r="YC11" s="96"/>
      <c r="YD11" s="97"/>
      <c r="YE11" s="98"/>
      <c r="YF11" s="96"/>
      <c r="YG11" s="97"/>
      <c r="YH11" s="98"/>
      <c r="YI11" s="96"/>
      <c r="YJ11" s="97"/>
      <c r="YK11" s="98"/>
      <c r="YL11" s="96"/>
      <c r="YM11" s="97"/>
      <c r="YN11" s="98"/>
      <c r="YO11" s="96"/>
      <c r="YP11" s="97"/>
      <c r="YQ11" s="98"/>
      <c r="YR11" s="96"/>
      <c r="YS11" s="97"/>
      <c r="YT11" s="98"/>
      <c r="YU11" s="96"/>
      <c r="YV11" s="97"/>
      <c r="YW11" s="98"/>
      <c r="YX11" s="96"/>
      <c r="YY11" s="97"/>
      <c r="YZ11" s="98"/>
      <c r="ZA11" s="96"/>
      <c r="ZB11" s="97"/>
      <c r="ZC11" s="98"/>
      <c r="ZD11" s="96"/>
      <c r="ZE11" s="97"/>
      <c r="ZF11" s="98"/>
      <c r="ZG11" s="96"/>
      <c r="ZH11" s="97"/>
      <c r="ZI11" s="98"/>
      <c r="ZJ11" s="96"/>
      <c r="ZK11" s="97"/>
      <c r="ZL11" s="98"/>
      <c r="ZM11" s="96"/>
      <c r="ZN11" s="97"/>
      <c r="ZO11" s="98"/>
      <c r="ZP11" s="96"/>
      <c r="ZQ11" s="97"/>
      <c r="ZR11" s="98"/>
      <c r="ZS11" s="96"/>
      <c r="ZT11" s="97"/>
      <c r="ZU11" s="98"/>
      <c r="ZV11" s="96"/>
      <c r="ZW11" s="97"/>
      <c r="ZX11" s="98"/>
      <c r="ZY11" s="96"/>
      <c r="ZZ11" s="97"/>
      <c r="AAA11" s="98"/>
      <c r="AAB11" s="96"/>
      <c r="AAC11" s="97"/>
      <c r="AAD11" s="98"/>
      <c r="AAE11" s="96"/>
      <c r="AAF11" s="97"/>
      <c r="AAG11" s="98"/>
      <c r="AAH11" s="96"/>
      <c r="AAI11" s="97"/>
      <c r="AAJ11" s="98"/>
      <c r="AAK11" s="96"/>
      <c r="AAL11" s="97"/>
      <c r="AAM11" s="98"/>
      <c r="AAN11" s="96"/>
      <c r="AAO11" s="97"/>
      <c r="AAP11" s="98"/>
      <c r="AAQ11" s="96"/>
      <c r="AAR11" s="97"/>
      <c r="AAS11" s="98"/>
      <c r="AAT11" s="96"/>
      <c r="AAU11" s="99"/>
      <c r="AAV11" s="95"/>
      <c r="AAW11" s="96"/>
      <c r="AAX11" s="97"/>
      <c r="AAY11" s="98"/>
      <c r="AAZ11" s="96"/>
      <c r="ABA11" s="97"/>
      <c r="ABB11" s="98"/>
      <c r="ABC11" s="96"/>
      <c r="ABD11" s="97"/>
      <c r="ABE11" s="98"/>
      <c r="ABF11" s="96"/>
      <c r="ABG11" s="97"/>
      <c r="ABH11" s="98"/>
      <c r="ABI11" s="96"/>
      <c r="ABJ11" s="97"/>
      <c r="ABK11" s="98"/>
      <c r="ABL11" s="96"/>
      <c r="ABM11" s="97"/>
      <c r="ABN11" s="98"/>
      <c r="ABO11" s="96"/>
      <c r="ABP11" s="97"/>
      <c r="ABQ11" s="98"/>
      <c r="ABR11" s="96"/>
      <c r="ABS11" s="97"/>
      <c r="ABT11" s="98"/>
      <c r="ABU11" s="96"/>
      <c r="ABV11" s="97"/>
      <c r="ABW11" s="98"/>
      <c r="ABX11" s="96"/>
      <c r="ABY11" s="97"/>
      <c r="ABZ11" s="98"/>
      <c r="ACA11" s="96"/>
      <c r="ACB11" s="97"/>
      <c r="ACC11" s="98"/>
      <c r="ACD11" s="96"/>
      <c r="ACE11" s="97"/>
      <c r="ACF11" s="98"/>
      <c r="ACG11" s="96"/>
      <c r="ACH11" s="97"/>
      <c r="ACI11" s="98"/>
      <c r="ACJ11" s="96"/>
      <c r="ACK11" s="97"/>
      <c r="ACL11" s="98"/>
      <c r="ACM11" s="96"/>
      <c r="ACN11" s="97"/>
      <c r="ACO11" s="98"/>
      <c r="ACP11" s="96"/>
      <c r="ACQ11" s="97"/>
      <c r="ACR11" s="98"/>
      <c r="ACS11" s="96"/>
      <c r="ACT11" s="97"/>
      <c r="ACU11" s="98"/>
      <c r="ACV11" s="96"/>
      <c r="ACW11" s="97"/>
      <c r="ACX11" s="98"/>
      <c r="ACY11" s="96"/>
      <c r="ACZ11" s="97"/>
      <c r="ADA11" s="98"/>
      <c r="ADB11" s="96"/>
      <c r="ADC11" s="97"/>
      <c r="ADD11" s="98"/>
      <c r="ADE11" s="96"/>
      <c r="ADF11" s="97"/>
      <c r="ADG11" s="98"/>
      <c r="ADH11" s="96"/>
      <c r="ADI11" s="97"/>
      <c r="ADJ11" s="98"/>
      <c r="ADK11" s="96"/>
      <c r="ADL11" s="97"/>
      <c r="ADM11" s="98"/>
      <c r="ADN11" s="96"/>
      <c r="ADO11" s="97"/>
      <c r="ADP11" s="98"/>
      <c r="ADQ11" s="96"/>
      <c r="ADR11" s="97"/>
      <c r="ADS11" s="98"/>
      <c r="ADT11" s="96"/>
      <c r="ADU11" s="97"/>
      <c r="ADV11" s="98"/>
      <c r="ADW11" s="96"/>
      <c r="ADX11" s="97"/>
      <c r="ADY11" s="98"/>
      <c r="ADZ11" s="96"/>
      <c r="AEA11" s="97"/>
      <c r="AEB11" s="98"/>
      <c r="AEC11" s="96"/>
      <c r="AED11" s="97"/>
      <c r="AEE11" s="98"/>
      <c r="AEF11" s="96"/>
      <c r="AEG11" s="99"/>
    </row>
    <row r="12" spans="1:813" ht="19.5" customHeight="1" thickBot="1" x14ac:dyDescent="0.3">
      <c r="B12" s="191"/>
      <c r="C12" s="107">
        <v>10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50"/>
      <c r="S12" s="151"/>
      <c r="T12" s="149"/>
      <c r="U12" s="150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51"/>
      <c r="CE12" s="149"/>
      <c r="CF12" s="150"/>
      <c r="CG12" s="104"/>
      <c r="CH12" s="102"/>
      <c r="CI12" s="103"/>
      <c r="CJ12" s="104"/>
      <c r="CK12" s="102"/>
      <c r="CL12" s="103"/>
      <c r="CM12" s="151"/>
      <c r="CN12" s="149"/>
      <c r="CO12" s="186"/>
      <c r="CP12" s="101"/>
      <c r="CQ12" s="102"/>
      <c r="CR12" s="103"/>
      <c r="CS12" s="104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5"/>
      <c r="GB12" s="101"/>
      <c r="GC12" s="102"/>
      <c r="GD12" s="103"/>
      <c r="GE12" s="104"/>
      <c r="GF12" s="102"/>
      <c r="GG12" s="103"/>
      <c r="GH12" s="104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5"/>
      <c r="JN12" s="101"/>
      <c r="JO12" s="102"/>
      <c r="JP12" s="103"/>
      <c r="JQ12" s="104"/>
      <c r="JR12" s="102"/>
      <c r="JS12" s="103"/>
      <c r="JT12" s="104"/>
      <c r="JU12" s="102"/>
      <c r="JV12" s="103"/>
      <c r="JW12" s="104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5"/>
      <c r="MZ12" s="101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3"/>
      <c r="NL12" s="104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5"/>
      <c r="QL12" s="101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3"/>
      <c r="RA12" s="104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5"/>
      <c r="TX12" s="101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3"/>
      <c r="UP12" s="104"/>
      <c r="UQ12" s="102"/>
      <c r="UR12" s="103"/>
      <c r="US12" s="104"/>
      <c r="UT12" s="102"/>
      <c r="UU12" s="103"/>
      <c r="UV12" s="104"/>
      <c r="UW12" s="102"/>
      <c r="UX12" s="103"/>
      <c r="UY12" s="104"/>
      <c r="UZ12" s="102"/>
      <c r="VA12" s="103"/>
      <c r="VB12" s="104"/>
      <c r="VC12" s="102"/>
      <c r="VD12" s="103"/>
      <c r="VE12" s="104"/>
      <c r="VF12" s="102"/>
      <c r="VG12" s="103"/>
      <c r="VH12" s="104"/>
      <c r="VI12" s="102"/>
      <c r="VJ12" s="103"/>
      <c r="VK12" s="104"/>
      <c r="VL12" s="102"/>
      <c r="VM12" s="103"/>
      <c r="VN12" s="104"/>
      <c r="VO12" s="102"/>
      <c r="VP12" s="103"/>
      <c r="VQ12" s="104"/>
      <c r="VR12" s="102"/>
      <c r="VS12" s="103"/>
      <c r="VT12" s="104"/>
      <c r="VU12" s="102"/>
      <c r="VV12" s="103"/>
      <c r="VW12" s="104"/>
      <c r="VX12" s="102"/>
      <c r="VY12" s="103"/>
      <c r="VZ12" s="104"/>
      <c r="WA12" s="102"/>
      <c r="WB12" s="103"/>
      <c r="WC12" s="104"/>
      <c r="WD12" s="102"/>
      <c r="WE12" s="103"/>
      <c r="WF12" s="104"/>
      <c r="WG12" s="102"/>
      <c r="WH12" s="103"/>
      <c r="WI12" s="104"/>
      <c r="WJ12" s="102"/>
      <c r="WK12" s="103"/>
      <c r="WL12" s="104"/>
      <c r="WM12" s="102"/>
      <c r="WN12" s="103"/>
      <c r="WO12" s="104"/>
      <c r="WP12" s="102"/>
      <c r="WQ12" s="103"/>
      <c r="WR12" s="104"/>
      <c r="WS12" s="102"/>
      <c r="WT12" s="103"/>
      <c r="WU12" s="104"/>
      <c r="WV12" s="102"/>
      <c r="WW12" s="103"/>
      <c r="WX12" s="104"/>
      <c r="WY12" s="102"/>
      <c r="WZ12" s="103"/>
      <c r="XA12" s="104"/>
      <c r="XB12" s="102"/>
      <c r="XC12" s="103"/>
      <c r="XD12" s="104"/>
      <c r="XE12" s="102"/>
      <c r="XF12" s="103"/>
      <c r="XG12" s="104"/>
      <c r="XH12" s="102"/>
      <c r="XI12" s="105"/>
      <c r="XJ12" s="101"/>
      <c r="XK12" s="102"/>
      <c r="XL12" s="103"/>
      <c r="XM12" s="104"/>
      <c r="XN12" s="102"/>
      <c r="XO12" s="103"/>
      <c r="XP12" s="104"/>
      <c r="XQ12" s="102"/>
      <c r="XR12" s="103"/>
      <c r="XS12" s="104"/>
      <c r="XT12" s="102"/>
      <c r="XU12" s="103"/>
      <c r="XV12" s="104"/>
      <c r="XW12" s="102"/>
      <c r="XX12" s="103"/>
      <c r="XY12" s="104"/>
      <c r="XZ12" s="102"/>
      <c r="YA12" s="103"/>
      <c r="YB12" s="104"/>
      <c r="YC12" s="102"/>
      <c r="YD12" s="103"/>
      <c r="YE12" s="104"/>
      <c r="YF12" s="102"/>
      <c r="YG12" s="103"/>
      <c r="YH12" s="104"/>
      <c r="YI12" s="102"/>
      <c r="YJ12" s="103"/>
      <c r="YK12" s="104"/>
      <c r="YL12" s="102"/>
      <c r="YM12" s="103"/>
      <c r="YN12" s="104"/>
      <c r="YO12" s="102"/>
      <c r="YP12" s="103"/>
      <c r="YQ12" s="104"/>
      <c r="YR12" s="102"/>
      <c r="YS12" s="103"/>
      <c r="YT12" s="104"/>
      <c r="YU12" s="102"/>
      <c r="YV12" s="103"/>
      <c r="YW12" s="104"/>
      <c r="YX12" s="102"/>
      <c r="YY12" s="103"/>
      <c r="YZ12" s="104"/>
      <c r="ZA12" s="102"/>
      <c r="ZB12" s="103"/>
      <c r="ZC12" s="104"/>
      <c r="ZD12" s="102"/>
      <c r="ZE12" s="103"/>
      <c r="ZF12" s="104"/>
      <c r="ZG12" s="102"/>
      <c r="ZH12" s="103"/>
      <c r="ZI12" s="104"/>
      <c r="ZJ12" s="102"/>
      <c r="ZK12" s="103"/>
      <c r="ZL12" s="104"/>
      <c r="ZM12" s="102"/>
      <c r="ZN12" s="103"/>
      <c r="ZO12" s="104"/>
      <c r="ZP12" s="102"/>
      <c r="ZQ12" s="103"/>
      <c r="ZR12" s="104"/>
      <c r="ZS12" s="102"/>
      <c r="ZT12" s="103"/>
      <c r="ZU12" s="104"/>
      <c r="ZV12" s="102"/>
      <c r="ZW12" s="103"/>
      <c r="ZX12" s="104"/>
      <c r="ZY12" s="102"/>
      <c r="ZZ12" s="103"/>
      <c r="AAA12" s="104"/>
      <c r="AAB12" s="102"/>
      <c r="AAC12" s="103"/>
      <c r="AAD12" s="104"/>
      <c r="AAE12" s="102"/>
      <c r="AAF12" s="103"/>
      <c r="AAG12" s="104"/>
      <c r="AAH12" s="102"/>
      <c r="AAI12" s="103"/>
      <c r="AAJ12" s="104"/>
      <c r="AAK12" s="102"/>
      <c r="AAL12" s="103"/>
      <c r="AAM12" s="104"/>
      <c r="AAN12" s="102"/>
      <c r="AAO12" s="103"/>
      <c r="AAP12" s="104"/>
      <c r="AAQ12" s="102"/>
      <c r="AAR12" s="103"/>
      <c r="AAS12" s="104"/>
      <c r="AAT12" s="102"/>
      <c r="AAU12" s="105"/>
      <c r="AAV12" s="101"/>
      <c r="AAW12" s="102"/>
      <c r="AAX12" s="103"/>
      <c r="AAY12" s="104"/>
      <c r="AAZ12" s="102"/>
      <c r="ABA12" s="103"/>
      <c r="ABB12" s="104"/>
      <c r="ABC12" s="102"/>
      <c r="ABD12" s="103"/>
      <c r="ABE12" s="104"/>
      <c r="ABF12" s="102"/>
      <c r="ABG12" s="103"/>
      <c r="ABH12" s="104"/>
      <c r="ABI12" s="102"/>
      <c r="ABJ12" s="103"/>
      <c r="ABK12" s="104"/>
      <c r="ABL12" s="102"/>
      <c r="ABM12" s="103"/>
      <c r="ABN12" s="104"/>
      <c r="ABO12" s="102"/>
      <c r="ABP12" s="103"/>
      <c r="ABQ12" s="104"/>
      <c r="ABR12" s="102"/>
      <c r="ABS12" s="103"/>
      <c r="ABT12" s="104"/>
      <c r="ABU12" s="102"/>
      <c r="ABV12" s="103"/>
      <c r="ABW12" s="104"/>
      <c r="ABX12" s="102"/>
      <c r="ABY12" s="103"/>
      <c r="ABZ12" s="104"/>
      <c r="ACA12" s="102"/>
      <c r="ACB12" s="103"/>
      <c r="ACC12" s="104"/>
      <c r="ACD12" s="102"/>
      <c r="ACE12" s="103"/>
      <c r="ACF12" s="104"/>
      <c r="ACG12" s="102"/>
      <c r="ACH12" s="103"/>
      <c r="ACI12" s="104"/>
      <c r="ACJ12" s="102"/>
      <c r="ACK12" s="103"/>
      <c r="ACL12" s="104"/>
      <c r="ACM12" s="102"/>
      <c r="ACN12" s="103"/>
      <c r="ACO12" s="104"/>
      <c r="ACP12" s="102"/>
      <c r="ACQ12" s="103"/>
      <c r="ACR12" s="104"/>
      <c r="ACS12" s="102"/>
      <c r="ACT12" s="103"/>
      <c r="ACU12" s="104"/>
      <c r="ACV12" s="102"/>
      <c r="ACW12" s="103"/>
      <c r="ACX12" s="104"/>
      <c r="ACY12" s="102"/>
      <c r="ACZ12" s="103"/>
      <c r="ADA12" s="104"/>
      <c r="ADB12" s="102"/>
      <c r="ADC12" s="103"/>
      <c r="ADD12" s="104"/>
      <c r="ADE12" s="102"/>
      <c r="ADF12" s="103"/>
      <c r="ADG12" s="104"/>
      <c r="ADH12" s="102"/>
      <c r="ADI12" s="103"/>
      <c r="ADJ12" s="104"/>
      <c r="ADK12" s="102"/>
      <c r="ADL12" s="103"/>
      <c r="ADM12" s="104"/>
      <c r="ADN12" s="102"/>
      <c r="ADO12" s="103"/>
      <c r="ADP12" s="104"/>
      <c r="ADQ12" s="102"/>
      <c r="ADR12" s="103"/>
      <c r="ADS12" s="104"/>
      <c r="ADT12" s="102"/>
      <c r="ADU12" s="103"/>
      <c r="ADV12" s="104"/>
      <c r="ADW12" s="102"/>
      <c r="ADX12" s="103"/>
      <c r="ADY12" s="104"/>
      <c r="ADZ12" s="102"/>
      <c r="AEA12" s="103"/>
      <c r="AEB12" s="104"/>
      <c r="AEC12" s="102"/>
      <c r="AED12" s="103"/>
      <c r="AEE12" s="104"/>
      <c r="AEF12" s="102"/>
      <c r="AEG12" s="105"/>
    </row>
    <row r="13" spans="1:813" ht="19.5" customHeight="1" x14ac:dyDescent="0.25">
      <c r="B13" s="190" t="str">
        <f>Donnees!$C$25</f>
        <v>PLANIFIER : Découper en tâches et concevoir</v>
      </c>
      <c r="C13" s="106">
        <v>8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155"/>
      <c r="AX13" s="153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9"/>
      <c r="CP13" s="152"/>
      <c r="CQ13" s="153"/>
      <c r="CR13" s="154"/>
      <c r="CS13" s="155"/>
      <c r="CT13" s="153"/>
      <c r="CU13" s="154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9"/>
      <c r="GB13" s="95"/>
      <c r="GC13" s="96"/>
      <c r="GD13" s="97"/>
      <c r="GE13" s="98"/>
      <c r="GF13" s="96"/>
      <c r="GG13" s="97"/>
      <c r="GH13" s="98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9"/>
      <c r="JN13" s="95"/>
      <c r="JO13" s="96"/>
      <c r="JP13" s="97"/>
      <c r="JQ13" s="98"/>
      <c r="JR13" s="96"/>
      <c r="JS13" s="97"/>
      <c r="JT13" s="98"/>
      <c r="JU13" s="96"/>
      <c r="JV13" s="97"/>
      <c r="JW13" s="98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9"/>
      <c r="MZ13" s="95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7"/>
      <c r="NL13" s="98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9"/>
      <c r="QL13" s="95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7"/>
      <c r="RA13" s="98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9"/>
      <c r="TX13" s="95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7"/>
      <c r="UP13" s="98"/>
      <c r="UQ13" s="96"/>
      <c r="UR13" s="97"/>
      <c r="US13" s="98"/>
      <c r="UT13" s="96"/>
      <c r="UU13" s="97"/>
      <c r="UV13" s="98"/>
      <c r="UW13" s="96"/>
      <c r="UX13" s="97"/>
      <c r="UY13" s="98"/>
      <c r="UZ13" s="96"/>
      <c r="VA13" s="97"/>
      <c r="VB13" s="98"/>
      <c r="VC13" s="96"/>
      <c r="VD13" s="97"/>
      <c r="VE13" s="98"/>
      <c r="VF13" s="96"/>
      <c r="VG13" s="97"/>
      <c r="VH13" s="98"/>
      <c r="VI13" s="96"/>
      <c r="VJ13" s="97"/>
      <c r="VK13" s="98"/>
      <c r="VL13" s="96"/>
      <c r="VM13" s="97"/>
      <c r="VN13" s="98"/>
      <c r="VO13" s="96"/>
      <c r="VP13" s="97"/>
      <c r="VQ13" s="98"/>
      <c r="VR13" s="96"/>
      <c r="VS13" s="97"/>
      <c r="VT13" s="98"/>
      <c r="VU13" s="96"/>
      <c r="VV13" s="97"/>
      <c r="VW13" s="98"/>
      <c r="VX13" s="96"/>
      <c r="VY13" s="97"/>
      <c r="VZ13" s="98"/>
      <c r="WA13" s="96"/>
      <c r="WB13" s="97"/>
      <c r="WC13" s="98"/>
      <c r="WD13" s="96"/>
      <c r="WE13" s="97"/>
      <c r="WF13" s="98"/>
      <c r="WG13" s="96"/>
      <c r="WH13" s="97"/>
      <c r="WI13" s="98"/>
      <c r="WJ13" s="96"/>
      <c r="WK13" s="97"/>
      <c r="WL13" s="98"/>
      <c r="WM13" s="96"/>
      <c r="WN13" s="97"/>
      <c r="WO13" s="98"/>
      <c r="WP13" s="96"/>
      <c r="WQ13" s="97"/>
      <c r="WR13" s="98"/>
      <c r="WS13" s="96"/>
      <c r="WT13" s="97"/>
      <c r="WU13" s="98"/>
      <c r="WV13" s="96"/>
      <c r="WW13" s="97"/>
      <c r="WX13" s="98"/>
      <c r="WY13" s="96"/>
      <c r="WZ13" s="97"/>
      <c r="XA13" s="98"/>
      <c r="XB13" s="96"/>
      <c r="XC13" s="97"/>
      <c r="XD13" s="98"/>
      <c r="XE13" s="96"/>
      <c r="XF13" s="97"/>
      <c r="XG13" s="98"/>
      <c r="XH13" s="96"/>
      <c r="XI13" s="99"/>
      <c r="XJ13" s="95"/>
      <c r="XK13" s="96"/>
      <c r="XL13" s="97"/>
      <c r="XM13" s="98"/>
      <c r="XN13" s="96"/>
      <c r="XO13" s="97"/>
      <c r="XP13" s="98"/>
      <c r="XQ13" s="96"/>
      <c r="XR13" s="97"/>
      <c r="XS13" s="98"/>
      <c r="XT13" s="96"/>
      <c r="XU13" s="97"/>
      <c r="XV13" s="98"/>
      <c r="XW13" s="96"/>
      <c r="XX13" s="97"/>
      <c r="XY13" s="98"/>
      <c r="XZ13" s="96"/>
      <c r="YA13" s="97"/>
      <c r="YB13" s="98"/>
      <c r="YC13" s="96"/>
      <c r="YD13" s="97"/>
      <c r="YE13" s="98"/>
      <c r="YF13" s="96"/>
      <c r="YG13" s="97"/>
      <c r="YH13" s="98"/>
      <c r="YI13" s="96"/>
      <c r="YJ13" s="97"/>
      <c r="YK13" s="98"/>
      <c r="YL13" s="96"/>
      <c r="YM13" s="97"/>
      <c r="YN13" s="98"/>
      <c r="YO13" s="96"/>
      <c r="YP13" s="97"/>
      <c r="YQ13" s="98"/>
      <c r="YR13" s="96"/>
      <c r="YS13" s="97"/>
      <c r="YT13" s="98"/>
      <c r="YU13" s="96"/>
      <c r="YV13" s="97"/>
      <c r="YW13" s="98"/>
      <c r="YX13" s="96"/>
      <c r="YY13" s="97"/>
      <c r="YZ13" s="98"/>
      <c r="ZA13" s="96"/>
      <c r="ZB13" s="97"/>
      <c r="ZC13" s="98"/>
      <c r="ZD13" s="96"/>
      <c r="ZE13" s="97"/>
      <c r="ZF13" s="98"/>
      <c r="ZG13" s="96"/>
      <c r="ZH13" s="97"/>
      <c r="ZI13" s="98"/>
      <c r="ZJ13" s="96"/>
      <c r="ZK13" s="97"/>
      <c r="ZL13" s="98"/>
      <c r="ZM13" s="96"/>
      <c r="ZN13" s="97"/>
      <c r="ZO13" s="98"/>
      <c r="ZP13" s="96"/>
      <c r="ZQ13" s="97"/>
      <c r="ZR13" s="98"/>
      <c r="ZS13" s="96"/>
      <c r="ZT13" s="97"/>
      <c r="ZU13" s="98"/>
      <c r="ZV13" s="96"/>
      <c r="ZW13" s="97"/>
      <c r="ZX13" s="98"/>
      <c r="ZY13" s="96"/>
      <c r="ZZ13" s="97"/>
      <c r="AAA13" s="98"/>
      <c r="AAB13" s="96"/>
      <c r="AAC13" s="97"/>
      <c r="AAD13" s="98"/>
      <c r="AAE13" s="96"/>
      <c r="AAF13" s="97"/>
      <c r="AAG13" s="98"/>
      <c r="AAH13" s="96"/>
      <c r="AAI13" s="97"/>
      <c r="AAJ13" s="98"/>
      <c r="AAK13" s="96"/>
      <c r="AAL13" s="97"/>
      <c r="AAM13" s="98"/>
      <c r="AAN13" s="96"/>
      <c r="AAO13" s="97"/>
      <c r="AAP13" s="98"/>
      <c r="AAQ13" s="96"/>
      <c r="AAR13" s="97"/>
      <c r="AAS13" s="98"/>
      <c r="AAT13" s="96"/>
      <c r="AAU13" s="99"/>
      <c r="AAV13" s="95"/>
      <c r="AAW13" s="96"/>
      <c r="AAX13" s="97"/>
      <c r="AAY13" s="98"/>
      <c r="AAZ13" s="96"/>
      <c r="ABA13" s="97"/>
      <c r="ABB13" s="98"/>
      <c r="ABC13" s="96"/>
      <c r="ABD13" s="97"/>
      <c r="ABE13" s="98"/>
      <c r="ABF13" s="96"/>
      <c r="ABG13" s="97"/>
      <c r="ABH13" s="98"/>
      <c r="ABI13" s="96"/>
      <c r="ABJ13" s="97"/>
      <c r="ABK13" s="98"/>
      <c r="ABL13" s="96"/>
      <c r="ABM13" s="97"/>
      <c r="ABN13" s="98"/>
      <c r="ABO13" s="96"/>
      <c r="ABP13" s="97"/>
      <c r="ABQ13" s="98"/>
      <c r="ABR13" s="96"/>
      <c r="ABS13" s="97"/>
      <c r="ABT13" s="98"/>
      <c r="ABU13" s="96"/>
      <c r="ABV13" s="97"/>
      <c r="ABW13" s="98"/>
      <c r="ABX13" s="96"/>
      <c r="ABY13" s="97"/>
      <c r="ABZ13" s="98"/>
      <c r="ACA13" s="96"/>
      <c r="ACB13" s="97"/>
      <c r="ACC13" s="98"/>
      <c r="ACD13" s="96"/>
      <c r="ACE13" s="97"/>
      <c r="ACF13" s="98"/>
      <c r="ACG13" s="96"/>
      <c r="ACH13" s="97"/>
      <c r="ACI13" s="98"/>
      <c r="ACJ13" s="96"/>
      <c r="ACK13" s="97"/>
      <c r="ACL13" s="98"/>
      <c r="ACM13" s="96"/>
      <c r="ACN13" s="97"/>
      <c r="ACO13" s="98"/>
      <c r="ACP13" s="96"/>
      <c r="ACQ13" s="97"/>
      <c r="ACR13" s="98"/>
      <c r="ACS13" s="96"/>
      <c r="ACT13" s="97"/>
      <c r="ACU13" s="98"/>
      <c r="ACV13" s="96"/>
      <c r="ACW13" s="97"/>
      <c r="ACX13" s="98"/>
      <c r="ACY13" s="96"/>
      <c r="ACZ13" s="97"/>
      <c r="ADA13" s="98"/>
      <c r="ADB13" s="96"/>
      <c r="ADC13" s="97"/>
      <c r="ADD13" s="98"/>
      <c r="ADE13" s="96"/>
      <c r="ADF13" s="97"/>
      <c r="ADG13" s="98"/>
      <c r="ADH13" s="96"/>
      <c r="ADI13" s="97"/>
      <c r="ADJ13" s="98"/>
      <c r="ADK13" s="96"/>
      <c r="ADL13" s="97"/>
      <c r="ADM13" s="98"/>
      <c r="ADN13" s="96"/>
      <c r="ADO13" s="97"/>
      <c r="ADP13" s="98"/>
      <c r="ADQ13" s="96"/>
      <c r="ADR13" s="97"/>
      <c r="ADS13" s="98"/>
      <c r="ADT13" s="96"/>
      <c r="ADU13" s="97"/>
      <c r="ADV13" s="98"/>
      <c r="ADW13" s="96"/>
      <c r="ADX13" s="97"/>
      <c r="ADY13" s="98"/>
      <c r="ADZ13" s="96"/>
      <c r="AEA13" s="97"/>
      <c r="AEB13" s="98"/>
      <c r="AEC13" s="96"/>
      <c r="AED13" s="97"/>
      <c r="AEE13" s="98"/>
      <c r="AEF13" s="96"/>
      <c r="AEG13" s="99"/>
    </row>
    <row r="14" spans="1:813" ht="19.5" customHeight="1" thickBot="1" x14ac:dyDescent="0.3">
      <c r="B14" s="191"/>
      <c r="C14" s="107">
        <v>3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49"/>
      <c r="AV14" s="150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50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5"/>
      <c r="GB14" s="101"/>
      <c r="GC14" s="102"/>
      <c r="GD14" s="103"/>
      <c r="GE14" s="104"/>
      <c r="GF14" s="102"/>
      <c r="GG14" s="103"/>
      <c r="GH14" s="104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5"/>
      <c r="JN14" s="101"/>
      <c r="JO14" s="102"/>
      <c r="JP14" s="103"/>
      <c r="JQ14" s="104"/>
      <c r="JR14" s="102"/>
      <c r="JS14" s="103"/>
      <c r="JT14" s="104"/>
      <c r="JU14" s="102"/>
      <c r="JV14" s="103"/>
      <c r="JW14" s="104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5"/>
      <c r="MZ14" s="101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3"/>
      <c r="NL14" s="104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5"/>
      <c r="QL14" s="101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3"/>
      <c r="RA14" s="104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5"/>
      <c r="TX14" s="101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3"/>
      <c r="UP14" s="104"/>
      <c r="UQ14" s="102"/>
      <c r="UR14" s="103"/>
      <c r="US14" s="104"/>
      <c r="UT14" s="102"/>
      <c r="UU14" s="103"/>
      <c r="UV14" s="104"/>
      <c r="UW14" s="102"/>
      <c r="UX14" s="103"/>
      <c r="UY14" s="104"/>
      <c r="UZ14" s="102"/>
      <c r="VA14" s="103"/>
      <c r="VB14" s="104"/>
      <c r="VC14" s="102"/>
      <c r="VD14" s="103"/>
      <c r="VE14" s="104"/>
      <c r="VF14" s="102"/>
      <c r="VG14" s="103"/>
      <c r="VH14" s="104"/>
      <c r="VI14" s="102"/>
      <c r="VJ14" s="103"/>
      <c r="VK14" s="104"/>
      <c r="VL14" s="102"/>
      <c r="VM14" s="103"/>
      <c r="VN14" s="104"/>
      <c r="VO14" s="102"/>
      <c r="VP14" s="103"/>
      <c r="VQ14" s="104"/>
      <c r="VR14" s="102"/>
      <c r="VS14" s="103"/>
      <c r="VT14" s="104"/>
      <c r="VU14" s="102"/>
      <c r="VV14" s="103"/>
      <c r="VW14" s="104"/>
      <c r="VX14" s="102"/>
      <c r="VY14" s="103"/>
      <c r="VZ14" s="104"/>
      <c r="WA14" s="102"/>
      <c r="WB14" s="103"/>
      <c r="WC14" s="104"/>
      <c r="WD14" s="102"/>
      <c r="WE14" s="103"/>
      <c r="WF14" s="104"/>
      <c r="WG14" s="102"/>
      <c r="WH14" s="103"/>
      <c r="WI14" s="104"/>
      <c r="WJ14" s="102"/>
      <c r="WK14" s="103"/>
      <c r="WL14" s="104"/>
      <c r="WM14" s="102"/>
      <c r="WN14" s="103"/>
      <c r="WO14" s="104"/>
      <c r="WP14" s="102"/>
      <c r="WQ14" s="103"/>
      <c r="WR14" s="104"/>
      <c r="WS14" s="102"/>
      <c r="WT14" s="103"/>
      <c r="WU14" s="104"/>
      <c r="WV14" s="102"/>
      <c r="WW14" s="103"/>
      <c r="WX14" s="104"/>
      <c r="WY14" s="102"/>
      <c r="WZ14" s="103"/>
      <c r="XA14" s="104"/>
      <c r="XB14" s="102"/>
      <c r="XC14" s="103"/>
      <c r="XD14" s="104"/>
      <c r="XE14" s="102"/>
      <c r="XF14" s="103"/>
      <c r="XG14" s="104"/>
      <c r="XH14" s="102"/>
      <c r="XI14" s="105"/>
      <c r="XJ14" s="101"/>
      <c r="XK14" s="102"/>
      <c r="XL14" s="103"/>
      <c r="XM14" s="104"/>
      <c r="XN14" s="102"/>
      <c r="XO14" s="103"/>
      <c r="XP14" s="104"/>
      <c r="XQ14" s="102"/>
      <c r="XR14" s="103"/>
      <c r="XS14" s="104"/>
      <c r="XT14" s="102"/>
      <c r="XU14" s="103"/>
      <c r="XV14" s="104"/>
      <c r="XW14" s="102"/>
      <c r="XX14" s="103"/>
      <c r="XY14" s="104"/>
      <c r="XZ14" s="102"/>
      <c r="YA14" s="103"/>
      <c r="YB14" s="104"/>
      <c r="YC14" s="102"/>
      <c r="YD14" s="103"/>
      <c r="YE14" s="104"/>
      <c r="YF14" s="102"/>
      <c r="YG14" s="103"/>
      <c r="YH14" s="104"/>
      <c r="YI14" s="102"/>
      <c r="YJ14" s="103"/>
      <c r="YK14" s="104"/>
      <c r="YL14" s="102"/>
      <c r="YM14" s="103"/>
      <c r="YN14" s="104"/>
      <c r="YO14" s="102"/>
      <c r="YP14" s="103"/>
      <c r="YQ14" s="104"/>
      <c r="YR14" s="102"/>
      <c r="YS14" s="103"/>
      <c r="YT14" s="104"/>
      <c r="YU14" s="102"/>
      <c r="YV14" s="103"/>
      <c r="YW14" s="104"/>
      <c r="YX14" s="102"/>
      <c r="YY14" s="103"/>
      <c r="YZ14" s="104"/>
      <c r="ZA14" s="102"/>
      <c r="ZB14" s="103"/>
      <c r="ZC14" s="104"/>
      <c r="ZD14" s="102"/>
      <c r="ZE14" s="103"/>
      <c r="ZF14" s="104"/>
      <c r="ZG14" s="102"/>
      <c r="ZH14" s="103"/>
      <c r="ZI14" s="104"/>
      <c r="ZJ14" s="102"/>
      <c r="ZK14" s="103"/>
      <c r="ZL14" s="104"/>
      <c r="ZM14" s="102"/>
      <c r="ZN14" s="103"/>
      <c r="ZO14" s="104"/>
      <c r="ZP14" s="102"/>
      <c r="ZQ14" s="103"/>
      <c r="ZR14" s="104"/>
      <c r="ZS14" s="102"/>
      <c r="ZT14" s="103"/>
      <c r="ZU14" s="104"/>
      <c r="ZV14" s="102"/>
      <c r="ZW14" s="103"/>
      <c r="ZX14" s="104"/>
      <c r="ZY14" s="102"/>
      <c r="ZZ14" s="103"/>
      <c r="AAA14" s="104"/>
      <c r="AAB14" s="102"/>
      <c r="AAC14" s="103"/>
      <c r="AAD14" s="104"/>
      <c r="AAE14" s="102"/>
      <c r="AAF14" s="103"/>
      <c r="AAG14" s="104"/>
      <c r="AAH14" s="102"/>
      <c r="AAI14" s="103"/>
      <c r="AAJ14" s="104"/>
      <c r="AAK14" s="102"/>
      <c r="AAL14" s="103"/>
      <c r="AAM14" s="104"/>
      <c r="AAN14" s="102"/>
      <c r="AAO14" s="103"/>
      <c r="AAP14" s="104"/>
      <c r="AAQ14" s="102"/>
      <c r="AAR14" s="103"/>
      <c r="AAS14" s="104"/>
      <c r="AAT14" s="102"/>
      <c r="AAU14" s="105"/>
      <c r="AAV14" s="101"/>
      <c r="AAW14" s="102"/>
      <c r="AAX14" s="103"/>
      <c r="AAY14" s="104"/>
      <c r="AAZ14" s="102"/>
      <c r="ABA14" s="103"/>
      <c r="ABB14" s="104"/>
      <c r="ABC14" s="102"/>
      <c r="ABD14" s="103"/>
      <c r="ABE14" s="104"/>
      <c r="ABF14" s="102"/>
      <c r="ABG14" s="103"/>
      <c r="ABH14" s="104"/>
      <c r="ABI14" s="102"/>
      <c r="ABJ14" s="103"/>
      <c r="ABK14" s="104"/>
      <c r="ABL14" s="102"/>
      <c r="ABM14" s="103"/>
      <c r="ABN14" s="104"/>
      <c r="ABO14" s="102"/>
      <c r="ABP14" s="103"/>
      <c r="ABQ14" s="104"/>
      <c r="ABR14" s="102"/>
      <c r="ABS14" s="103"/>
      <c r="ABT14" s="104"/>
      <c r="ABU14" s="102"/>
      <c r="ABV14" s="103"/>
      <c r="ABW14" s="104"/>
      <c r="ABX14" s="102"/>
      <c r="ABY14" s="103"/>
      <c r="ABZ14" s="104"/>
      <c r="ACA14" s="102"/>
      <c r="ACB14" s="103"/>
      <c r="ACC14" s="104"/>
      <c r="ACD14" s="102"/>
      <c r="ACE14" s="103"/>
      <c r="ACF14" s="104"/>
      <c r="ACG14" s="102"/>
      <c r="ACH14" s="103"/>
      <c r="ACI14" s="104"/>
      <c r="ACJ14" s="102"/>
      <c r="ACK14" s="103"/>
      <c r="ACL14" s="104"/>
      <c r="ACM14" s="102"/>
      <c r="ACN14" s="103"/>
      <c r="ACO14" s="104"/>
      <c r="ACP14" s="102"/>
      <c r="ACQ14" s="103"/>
      <c r="ACR14" s="104"/>
      <c r="ACS14" s="102"/>
      <c r="ACT14" s="103"/>
      <c r="ACU14" s="104"/>
      <c r="ACV14" s="102"/>
      <c r="ACW14" s="103"/>
      <c r="ACX14" s="104"/>
      <c r="ACY14" s="102"/>
      <c r="ACZ14" s="103"/>
      <c r="ADA14" s="104"/>
      <c r="ADB14" s="102"/>
      <c r="ADC14" s="103"/>
      <c r="ADD14" s="104"/>
      <c r="ADE14" s="102"/>
      <c r="ADF14" s="103"/>
      <c r="ADG14" s="104"/>
      <c r="ADH14" s="102"/>
      <c r="ADI14" s="103"/>
      <c r="ADJ14" s="104"/>
      <c r="ADK14" s="102"/>
      <c r="ADL14" s="103"/>
      <c r="ADM14" s="104"/>
      <c r="ADN14" s="102"/>
      <c r="ADO14" s="103"/>
      <c r="ADP14" s="104"/>
      <c r="ADQ14" s="102"/>
      <c r="ADR14" s="103"/>
      <c r="ADS14" s="104"/>
      <c r="ADT14" s="102"/>
      <c r="ADU14" s="103"/>
      <c r="ADV14" s="104"/>
      <c r="ADW14" s="102"/>
      <c r="ADX14" s="103"/>
      <c r="ADY14" s="104"/>
      <c r="ADZ14" s="102"/>
      <c r="AEA14" s="103"/>
      <c r="AEB14" s="104"/>
      <c r="AEC14" s="102"/>
      <c r="AED14" s="103"/>
      <c r="AEE14" s="104"/>
      <c r="AEF14" s="102"/>
      <c r="AEG14" s="105"/>
    </row>
    <row r="15" spans="1:813" ht="19.5" customHeight="1" x14ac:dyDescent="0.25">
      <c r="B15" s="190" t="str">
        <f>Donnees!$C$26</f>
        <v>DECIDER : données, interfaces, langage, etc.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9"/>
      <c r="GB15" s="95"/>
      <c r="GC15" s="96"/>
      <c r="GD15" s="97"/>
      <c r="GE15" s="98"/>
      <c r="GF15" s="96"/>
      <c r="GG15" s="97"/>
      <c r="GH15" s="98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9"/>
      <c r="JN15" s="95"/>
      <c r="JO15" s="96"/>
      <c r="JP15" s="97"/>
      <c r="JQ15" s="98"/>
      <c r="JR15" s="96"/>
      <c r="JS15" s="97"/>
      <c r="JT15" s="98"/>
      <c r="JU15" s="96"/>
      <c r="JV15" s="97"/>
      <c r="JW15" s="98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9"/>
      <c r="MZ15" s="95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7"/>
      <c r="NL15" s="98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9"/>
      <c r="QL15" s="95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7"/>
      <c r="RA15" s="98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9"/>
      <c r="TX15" s="95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7"/>
      <c r="UP15" s="98"/>
      <c r="UQ15" s="96"/>
      <c r="UR15" s="97"/>
      <c r="US15" s="98"/>
      <c r="UT15" s="96"/>
      <c r="UU15" s="97"/>
      <c r="UV15" s="98"/>
      <c r="UW15" s="96"/>
      <c r="UX15" s="97"/>
      <c r="UY15" s="98"/>
      <c r="UZ15" s="96"/>
      <c r="VA15" s="97"/>
      <c r="VB15" s="98"/>
      <c r="VC15" s="96"/>
      <c r="VD15" s="97"/>
      <c r="VE15" s="98"/>
      <c r="VF15" s="96"/>
      <c r="VG15" s="97"/>
      <c r="VH15" s="98"/>
      <c r="VI15" s="96"/>
      <c r="VJ15" s="97"/>
      <c r="VK15" s="98"/>
      <c r="VL15" s="96"/>
      <c r="VM15" s="97"/>
      <c r="VN15" s="98"/>
      <c r="VO15" s="96"/>
      <c r="VP15" s="97"/>
      <c r="VQ15" s="98"/>
      <c r="VR15" s="96"/>
      <c r="VS15" s="97"/>
      <c r="VT15" s="98"/>
      <c r="VU15" s="96"/>
      <c r="VV15" s="97"/>
      <c r="VW15" s="98"/>
      <c r="VX15" s="96"/>
      <c r="VY15" s="97"/>
      <c r="VZ15" s="98"/>
      <c r="WA15" s="96"/>
      <c r="WB15" s="97"/>
      <c r="WC15" s="98"/>
      <c r="WD15" s="96"/>
      <c r="WE15" s="97"/>
      <c r="WF15" s="98"/>
      <c r="WG15" s="96"/>
      <c r="WH15" s="97"/>
      <c r="WI15" s="98"/>
      <c r="WJ15" s="96"/>
      <c r="WK15" s="97"/>
      <c r="WL15" s="98"/>
      <c r="WM15" s="96"/>
      <c r="WN15" s="97"/>
      <c r="WO15" s="98"/>
      <c r="WP15" s="96"/>
      <c r="WQ15" s="97"/>
      <c r="WR15" s="98"/>
      <c r="WS15" s="96"/>
      <c r="WT15" s="97"/>
      <c r="WU15" s="98"/>
      <c r="WV15" s="96"/>
      <c r="WW15" s="97"/>
      <c r="WX15" s="98"/>
      <c r="WY15" s="96"/>
      <c r="WZ15" s="97"/>
      <c r="XA15" s="98"/>
      <c r="XB15" s="96"/>
      <c r="XC15" s="97"/>
      <c r="XD15" s="98"/>
      <c r="XE15" s="96"/>
      <c r="XF15" s="97"/>
      <c r="XG15" s="98"/>
      <c r="XH15" s="96"/>
      <c r="XI15" s="99"/>
      <c r="XJ15" s="95"/>
      <c r="XK15" s="96"/>
      <c r="XL15" s="97"/>
      <c r="XM15" s="98"/>
      <c r="XN15" s="96"/>
      <c r="XO15" s="97"/>
      <c r="XP15" s="98"/>
      <c r="XQ15" s="96"/>
      <c r="XR15" s="97"/>
      <c r="XS15" s="98"/>
      <c r="XT15" s="96"/>
      <c r="XU15" s="97"/>
      <c r="XV15" s="98"/>
      <c r="XW15" s="96"/>
      <c r="XX15" s="97"/>
      <c r="XY15" s="98"/>
      <c r="XZ15" s="96"/>
      <c r="YA15" s="97"/>
      <c r="YB15" s="98"/>
      <c r="YC15" s="96"/>
      <c r="YD15" s="97"/>
      <c r="YE15" s="98"/>
      <c r="YF15" s="96"/>
      <c r="YG15" s="97"/>
      <c r="YH15" s="98"/>
      <c r="YI15" s="96"/>
      <c r="YJ15" s="97"/>
      <c r="YK15" s="98"/>
      <c r="YL15" s="96"/>
      <c r="YM15" s="97"/>
      <c r="YN15" s="98"/>
      <c r="YO15" s="96"/>
      <c r="YP15" s="97"/>
      <c r="YQ15" s="98"/>
      <c r="YR15" s="96"/>
      <c r="YS15" s="97"/>
      <c r="YT15" s="98"/>
      <c r="YU15" s="96"/>
      <c r="YV15" s="97"/>
      <c r="YW15" s="98"/>
      <c r="YX15" s="96"/>
      <c r="YY15" s="97"/>
      <c r="YZ15" s="98"/>
      <c r="ZA15" s="96"/>
      <c r="ZB15" s="97"/>
      <c r="ZC15" s="98"/>
      <c r="ZD15" s="96"/>
      <c r="ZE15" s="97"/>
      <c r="ZF15" s="98"/>
      <c r="ZG15" s="96"/>
      <c r="ZH15" s="97"/>
      <c r="ZI15" s="98"/>
      <c r="ZJ15" s="96"/>
      <c r="ZK15" s="97"/>
      <c r="ZL15" s="98"/>
      <c r="ZM15" s="96"/>
      <c r="ZN15" s="97"/>
      <c r="ZO15" s="98"/>
      <c r="ZP15" s="96"/>
      <c r="ZQ15" s="97"/>
      <c r="ZR15" s="98"/>
      <c r="ZS15" s="96"/>
      <c r="ZT15" s="97"/>
      <c r="ZU15" s="98"/>
      <c r="ZV15" s="96"/>
      <c r="ZW15" s="97"/>
      <c r="ZX15" s="98"/>
      <c r="ZY15" s="96"/>
      <c r="ZZ15" s="97"/>
      <c r="AAA15" s="98"/>
      <c r="AAB15" s="96"/>
      <c r="AAC15" s="97"/>
      <c r="AAD15" s="98"/>
      <c r="AAE15" s="96"/>
      <c r="AAF15" s="97"/>
      <c r="AAG15" s="98"/>
      <c r="AAH15" s="96"/>
      <c r="AAI15" s="97"/>
      <c r="AAJ15" s="98"/>
      <c r="AAK15" s="96"/>
      <c r="AAL15" s="97"/>
      <c r="AAM15" s="98"/>
      <c r="AAN15" s="96"/>
      <c r="AAO15" s="97"/>
      <c r="AAP15" s="98"/>
      <c r="AAQ15" s="96"/>
      <c r="AAR15" s="97"/>
      <c r="AAS15" s="98"/>
      <c r="AAT15" s="96"/>
      <c r="AAU15" s="99"/>
      <c r="AAV15" s="95"/>
      <c r="AAW15" s="96"/>
      <c r="AAX15" s="97"/>
      <c r="AAY15" s="98"/>
      <c r="AAZ15" s="96"/>
      <c r="ABA15" s="97"/>
      <c r="ABB15" s="98"/>
      <c r="ABC15" s="96"/>
      <c r="ABD15" s="97"/>
      <c r="ABE15" s="98"/>
      <c r="ABF15" s="96"/>
      <c r="ABG15" s="97"/>
      <c r="ABH15" s="98"/>
      <c r="ABI15" s="96"/>
      <c r="ABJ15" s="97"/>
      <c r="ABK15" s="98"/>
      <c r="ABL15" s="96"/>
      <c r="ABM15" s="97"/>
      <c r="ABN15" s="98"/>
      <c r="ABO15" s="96"/>
      <c r="ABP15" s="97"/>
      <c r="ABQ15" s="98"/>
      <c r="ABR15" s="96"/>
      <c r="ABS15" s="97"/>
      <c r="ABT15" s="98"/>
      <c r="ABU15" s="96"/>
      <c r="ABV15" s="97"/>
      <c r="ABW15" s="98"/>
      <c r="ABX15" s="96"/>
      <c r="ABY15" s="97"/>
      <c r="ABZ15" s="98"/>
      <c r="ACA15" s="96"/>
      <c r="ACB15" s="97"/>
      <c r="ACC15" s="98"/>
      <c r="ACD15" s="96"/>
      <c r="ACE15" s="97"/>
      <c r="ACF15" s="98"/>
      <c r="ACG15" s="96"/>
      <c r="ACH15" s="97"/>
      <c r="ACI15" s="98"/>
      <c r="ACJ15" s="96"/>
      <c r="ACK15" s="97"/>
      <c r="ACL15" s="98"/>
      <c r="ACM15" s="96"/>
      <c r="ACN15" s="97"/>
      <c r="ACO15" s="98"/>
      <c r="ACP15" s="96"/>
      <c r="ACQ15" s="97"/>
      <c r="ACR15" s="98"/>
      <c r="ACS15" s="96"/>
      <c r="ACT15" s="97"/>
      <c r="ACU15" s="98"/>
      <c r="ACV15" s="96"/>
      <c r="ACW15" s="97"/>
      <c r="ACX15" s="98"/>
      <c r="ACY15" s="96"/>
      <c r="ACZ15" s="97"/>
      <c r="ADA15" s="98"/>
      <c r="ADB15" s="96"/>
      <c r="ADC15" s="97"/>
      <c r="ADD15" s="98"/>
      <c r="ADE15" s="96"/>
      <c r="ADF15" s="97"/>
      <c r="ADG15" s="98"/>
      <c r="ADH15" s="96"/>
      <c r="ADI15" s="97"/>
      <c r="ADJ15" s="98"/>
      <c r="ADK15" s="96"/>
      <c r="ADL15" s="97"/>
      <c r="ADM15" s="98"/>
      <c r="ADN15" s="96"/>
      <c r="ADO15" s="97"/>
      <c r="ADP15" s="98"/>
      <c r="ADQ15" s="96"/>
      <c r="ADR15" s="97"/>
      <c r="ADS15" s="98"/>
      <c r="ADT15" s="96"/>
      <c r="ADU15" s="97"/>
      <c r="ADV15" s="98"/>
      <c r="ADW15" s="96"/>
      <c r="ADX15" s="97"/>
      <c r="ADY15" s="98"/>
      <c r="ADZ15" s="96"/>
      <c r="AEA15" s="97"/>
      <c r="AEB15" s="98"/>
      <c r="AEC15" s="96"/>
      <c r="AED15" s="97"/>
      <c r="AEE15" s="98"/>
      <c r="AEF15" s="96"/>
      <c r="AEG15" s="99"/>
    </row>
    <row r="16" spans="1:813" ht="19.5" customHeight="1" thickBot="1" x14ac:dyDescent="0.3">
      <c r="A16" s="108"/>
      <c r="B16" s="191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5"/>
      <c r="GB16" s="101"/>
      <c r="GC16" s="102"/>
      <c r="GD16" s="103"/>
      <c r="GE16" s="104"/>
      <c r="GF16" s="102"/>
      <c r="GG16" s="103"/>
      <c r="GH16" s="104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5"/>
      <c r="JN16" s="101"/>
      <c r="JO16" s="102"/>
      <c r="JP16" s="103"/>
      <c r="JQ16" s="104"/>
      <c r="JR16" s="102"/>
      <c r="JS16" s="103"/>
      <c r="JT16" s="104"/>
      <c r="JU16" s="102"/>
      <c r="JV16" s="103"/>
      <c r="JW16" s="104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5"/>
      <c r="MZ16" s="101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3"/>
      <c r="NL16" s="104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5"/>
      <c r="QL16" s="101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3"/>
      <c r="RA16" s="104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5"/>
      <c r="TX16" s="101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3"/>
      <c r="UP16" s="104"/>
      <c r="UQ16" s="102"/>
      <c r="UR16" s="103"/>
      <c r="US16" s="104"/>
      <c r="UT16" s="102"/>
      <c r="UU16" s="103"/>
      <c r="UV16" s="104"/>
      <c r="UW16" s="102"/>
      <c r="UX16" s="103"/>
      <c r="UY16" s="104"/>
      <c r="UZ16" s="102"/>
      <c r="VA16" s="103"/>
      <c r="VB16" s="104"/>
      <c r="VC16" s="102"/>
      <c r="VD16" s="103"/>
      <c r="VE16" s="104"/>
      <c r="VF16" s="102"/>
      <c r="VG16" s="103"/>
      <c r="VH16" s="104"/>
      <c r="VI16" s="102"/>
      <c r="VJ16" s="103"/>
      <c r="VK16" s="104"/>
      <c r="VL16" s="102"/>
      <c r="VM16" s="103"/>
      <c r="VN16" s="104"/>
      <c r="VO16" s="102"/>
      <c r="VP16" s="103"/>
      <c r="VQ16" s="104"/>
      <c r="VR16" s="102"/>
      <c r="VS16" s="103"/>
      <c r="VT16" s="104"/>
      <c r="VU16" s="102"/>
      <c r="VV16" s="103"/>
      <c r="VW16" s="104"/>
      <c r="VX16" s="102"/>
      <c r="VY16" s="103"/>
      <c r="VZ16" s="104"/>
      <c r="WA16" s="102"/>
      <c r="WB16" s="103"/>
      <c r="WC16" s="104"/>
      <c r="WD16" s="102"/>
      <c r="WE16" s="103"/>
      <c r="WF16" s="104"/>
      <c r="WG16" s="102"/>
      <c r="WH16" s="103"/>
      <c r="WI16" s="104"/>
      <c r="WJ16" s="102"/>
      <c r="WK16" s="103"/>
      <c r="WL16" s="104"/>
      <c r="WM16" s="102"/>
      <c r="WN16" s="103"/>
      <c r="WO16" s="104"/>
      <c r="WP16" s="102"/>
      <c r="WQ16" s="103"/>
      <c r="WR16" s="104"/>
      <c r="WS16" s="102"/>
      <c r="WT16" s="103"/>
      <c r="WU16" s="104"/>
      <c r="WV16" s="102"/>
      <c r="WW16" s="103"/>
      <c r="WX16" s="104"/>
      <c r="WY16" s="102"/>
      <c r="WZ16" s="103"/>
      <c r="XA16" s="104"/>
      <c r="XB16" s="102"/>
      <c r="XC16" s="103"/>
      <c r="XD16" s="104"/>
      <c r="XE16" s="102"/>
      <c r="XF16" s="103"/>
      <c r="XG16" s="104"/>
      <c r="XH16" s="102"/>
      <c r="XI16" s="105"/>
      <c r="XJ16" s="101"/>
      <c r="XK16" s="102"/>
      <c r="XL16" s="103"/>
      <c r="XM16" s="104"/>
      <c r="XN16" s="102"/>
      <c r="XO16" s="103"/>
      <c r="XP16" s="104"/>
      <c r="XQ16" s="102"/>
      <c r="XR16" s="103"/>
      <c r="XS16" s="104"/>
      <c r="XT16" s="102"/>
      <c r="XU16" s="103"/>
      <c r="XV16" s="104"/>
      <c r="XW16" s="102"/>
      <c r="XX16" s="103"/>
      <c r="XY16" s="104"/>
      <c r="XZ16" s="102"/>
      <c r="YA16" s="103"/>
      <c r="YB16" s="104"/>
      <c r="YC16" s="102"/>
      <c r="YD16" s="103"/>
      <c r="YE16" s="104"/>
      <c r="YF16" s="102"/>
      <c r="YG16" s="103"/>
      <c r="YH16" s="104"/>
      <c r="YI16" s="102"/>
      <c r="YJ16" s="103"/>
      <c r="YK16" s="104"/>
      <c r="YL16" s="102"/>
      <c r="YM16" s="103"/>
      <c r="YN16" s="104"/>
      <c r="YO16" s="102"/>
      <c r="YP16" s="103"/>
      <c r="YQ16" s="104"/>
      <c r="YR16" s="102"/>
      <c r="YS16" s="103"/>
      <c r="YT16" s="104"/>
      <c r="YU16" s="102"/>
      <c r="YV16" s="103"/>
      <c r="YW16" s="104"/>
      <c r="YX16" s="102"/>
      <c r="YY16" s="103"/>
      <c r="YZ16" s="104"/>
      <c r="ZA16" s="102"/>
      <c r="ZB16" s="103"/>
      <c r="ZC16" s="104"/>
      <c r="ZD16" s="102"/>
      <c r="ZE16" s="103"/>
      <c r="ZF16" s="104"/>
      <c r="ZG16" s="102"/>
      <c r="ZH16" s="103"/>
      <c r="ZI16" s="104"/>
      <c r="ZJ16" s="102"/>
      <c r="ZK16" s="103"/>
      <c r="ZL16" s="104"/>
      <c r="ZM16" s="102"/>
      <c r="ZN16" s="103"/>
      <c r="ZO16" s="104"/>
      <c r="ZP16" s="102"/>
      <c r="ZQ16" s="103"/>
      <c r="ZR16" s="104"/>
      <c r="ZS16" s="102"/>
      <c r="ZT16" s="103"/>
      <c r="ZU16" s="104"/>
      <c r="ZV16" s="102"/>
      <c r="ZW16" s="103"/>
      <c r="ZX16" s="104"/>
      <c r="ZY16" s="102"/>
      <c r="ZZ16" s="103"/>
      <c r="AAA16" s="104"/>
      <c r="AAB16" s="102"/>
      <c r="AAC16" s="103"/>
      <c r="AAD16" s="104"/>
      <c r="AAE16" s="102"/>
      <c r="AAF16" s="103"/>
      <c r="AAG16" s="104"/>
      <c r="AAH16" s="102"/>
      <c r="AAI16" s="103"/>
      <c r="AAJ16" s="104"/>
      <c r="AAK16" s="102"/>
      <c r="AAL16" s="103"/>
      <c r="AAM16" s="104"/>
      <c r="AAN16" s="102"/>
      <c r="AAO16" s="103"/>
      <c r="AAP16" s="104"/>
      <c r="AAQ16" s="102"/>
      <c r="AAR16" s="103"/>
      <c r="AAS16" s="104"/>
      <c r="AAT16" s="102"/>
      <c r="AAU16" s="105"/>
      <c r="AAV16" s="101"/>
      <c r="AAW16" s="102"/>
      <c r="AAX16" s="103"/>
      <c r="AAY16" s="104"/>
      <c r="AAZ16" s="102"/>
      <c r="ABA16" s="103"/>
      <c r="ABB16" s="104"/>
      <c r="ABC16" s="102"/>
      <c r="ABD16" s="103"/>
      <c r="ABE16" s="104"/>
      <c r="ABF16" s="102"/>
      <c r="ABG16" s="103"/>
      <c r="ABH16" s="104"/>
      <c r="ABI16" s="102"/>
      <c r="ABJ16" s="103"/>
      <c r="ABK16" s="104"/>
      <c r="ABL16" s="102"/>
      <c r="ABM16" s="103"/>
      <c r="ABN16" s="104"/>
      <c r="ABO16" s="102"/>
      <c r="ABP16" s="103"/>
      <c r="ABQ16" s="104"/>
      <c r="ABR16" s="102"/>
      <c r="ABS16" s="103"/>
      <c r="ABT16" s="104"/>
      <c r="ABU16" s="102"/>
      <c r="ABV16" s="103"/>
      <c r="ABW16" s="104"/>
      <c r="ABX16" s="102"/>
      <c r="ABY16" s="103"/>
      <c r="ABZ16" s="104"/>
      <c r="ACA16" s="102"/>
      <c r="ACB16" s="103"/>
      <c r="ACC16" s="104"/>
      <c r="ACD16" s="102"/>
      <c r="ACE16" s="103"/>
      <c r="ACF16" s="104"/>
      <c r="ACG16" s="102"/>
      <c r="ACH16" s="103"/>
      <c r="ACI16" s="104"/>
      <c r="ACJ16" s="102"/>
      <c r="ACK16" s="103"/>
      <c r="ACL16" s="104"/>
      <c r="ACM16" s="102"/>
      <c r="ACN16" s="103"/>
      <c r="ACO16" s="104"/>
      <c r="ACP16" s="102"/>
      <c r="ACQ16" s="103"/>
      <c r="ACR16" s="104"/>
      <c r="ACS16" s="102"/>
      <c r="ACT16" s="103"/>
      <c r="ACU16" s="104"/>
      <c r="ACV16" s="102"/>
      <c r="ACW16" s="103"/>
      <c r="ACX16" s="104"/>
      <c r="ACY16" s="102"/>
      <c r="ACZ16" s="103"/>
      <c r="ADA16" s="104"/>
      <c r="ADB16" s="102"/>
      <c r="ADC16" s="103"/>
      <c r="ADD16" s="104"/>
      <c r="ADE16" s="102"/>
      <c r="ADF16" s="103"/>
      <c r="ADG16" s="104"/>
      <c r="ADH16" s="102"/>
      <c r="ADI16" s="103"/>
      <c r="ADJ16" s="104"/>
      <c r="ADK16" s="102"/>
      <c r="ADL16" s="103"/>
      <c r="ADM16" s="104"/>
      <c r="ADN16" s="102"/>
      <c r="ADO16" s="103"/>
      <c r="ADP16" s="104"/>
      <c r="ADQ16" s="102"/>
      <c r="ADR16" s="103"/>
      <c r="ADS16" s="104"/>
      <c r="ADT16" s="102"/>
      <c r="ADU16" s="103"/>
      <c r="ADV16" s="104"/>
      <c r="ADW16" s="102"/>
      <c r="ADX16" s="103"/>
      <c r="ADY16" s="104"/>
      <c r="ADZ16" s="102"/>
      <c r="AEA16" s="103"/>
      <c r="AEB16" s="104"/>
      <c r="AEC16" s="102"/>
      <c r="AED16" s="103"/>
      <c r="AEE16" s="104"/>
      <c r="AEF16" s="102"/>
      <c r="AEG16" s="105"/>
    </row>
    <row r="17" spans="2:813" ht="19.5" customHeight="1" x14ac:dyDescent="0.25">
      <c r="B17" s="190" t="str">
        <f>Donnees!$C$27</f>
        <v>REALISER : Data (Collecte, Modélisation)</v>
      </c>
      <c r="C17" s="106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154"/>
      <c r="DE17" s="155"/>
      <c r="DF17" s="153"/>
      <c r="DG17" s="154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9"/>
      <c r="GB17" s="95"/>
      <c r="GC17" s="96"/>
      <c r="GD17" s="97"/>
      <c r="GE17" s="98"/>
      <c r="GF17" s="96"/>
      <c r="GG17" s="97"/>
      <c r="GH17" s="98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9"/>
      <c r="JN17" s="95"/>
      <c r="JO17" s="96"/>
      <c r="JP17" s="97"/>
      <c r="JQ17" s="98"/>
      <c r="JR17" s="96"/>
      <c r="JS17" s="97"/>
      <c r="JT17" s="98"/>
      <c r="JU17" s="96"/>
      <c r="JV17" s="97"/>
      <c r="JW17" s="98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9"/>
      <c r="MZ17" s="95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7"/>
      <c r="NL17" s="98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9"/>
      <c r="QL17" s="95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7"/>
      <c r="RA17" s="98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9"/>
      <c r="TX17" s="95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7"/>
      <c r="UP17" s="98"/>
      <c r="UQ17" s="96"/>
      <c r="UR17" s="97"/>
      <c r="US17" s="98"/>
      <c r="UT17" s="96"/>
      <c r="UU17" s="97"/>
      <c r="UV17" s="98"/>
      <c r="UW17" s="96"/>
      <c r="UX17" s="97"/>
      <c r="UY17" s="98"/>
      <c r="UZ17" s="96"/>
      <c r="VA17" s="97"/>
      <c r="VB17" s="98"/>
      <c r="VC17" s="96"/>
      <c r="VD17" s="97"/>
      <c r="VE17" s="98"/>
      <c r="VF17" s="96"/>
      <c r="VG17" s="97"/>
      <c r="VH17" s="98"/>
      <c r="VI17" s="96"/>
      <c r="VJ17" s="97"/>
      <c r="VK17" s="98"/>
      <c r="VL17" s="96"/>
      <c r="VM17" s="97"/>
      <c r="VN17" s="98"/>
      <c r="VO17" s="96"/>
      <c r="VP17" s="97"/>
      <c r="VQ17" s="98"/>
      <c r="VR17" s="96"/>
      <c r="VS17" s="97"/>
      <c r="VT17" s="98"/>
      <c r="VU17" s="96"/>
      <c r="VV17" s="97"/>
      <c r="VW17" s="98"/>
      <c r="VX17" s="96"/>
      <c r="VY17" s="97"/>
      <c r="VZ17" s="98"/>
      <c r="WA17" s="96"/>
      <c r="WB17" s="97"/>
      <c r="WC17" s="98"/>
      <c r="WD17" s="96"/>
      <c r="WE17" s="97"/>
      <c r="WF17" s="98"/>
      <c r="WG17" s="96"/>
      <c r="WH17" s="97"/>
      <c r="WI17" s="98"/>
      <c r="WJ17" s="96"/>
      <c r="WK17" s="97"/>
      <c r="WL17" s="98"/>
      <c r="WM17" s="96"/>
      <c r="WN17" s="97"/>
      <c r="WO17" s="98"/>
      <c r="WP17" s="96"/>
      <c r="WQ17" s="97"/>
      <c r="WR17" s="98"/>
      <c r="WS17" s="96"/>
      <c r="WT17" s="97"/>
      <c r="WU17" s="98"/>
      <c r="WV17" s="96"/>
      <c r="WW17" s="97"/>
      <c r="WX17" s="98"/>
      <c r="WY17" s="96"/>
      <c r="WZ17" s="97"/>
      <c r="XA17" s="98"/>
      <c r="XB17" s="96"/>
      <c r="XC17" s="97"/>
      <c r="XD17" s="98"/>
      <c r="XE17" s="96"/>
      <c r="XF17" s="97"/>
      <c r="XG17" s="98"/>
      <c r="XH17" s="96"/>
      <c r="XI17" s="99"/>
      <c r="XJ17" s="95"/>
      <c r="XK17" s="96"/>
      <c r="XL17" s="97"/>
      <c r="XM17" s="98"/>
      <c r="XN17" s="96"/>
      <c r="XO17" s="97"/>
      <c r="XP17" s="98"/>
      <c r="XQ17" s="96"/>
      <c r="XR17" s="97"/>
      <c r="XS17" s="98"/>
      <c r="XT17" s="96"/>
      <c r="XU17" s="97"/>
      <c r="XV17" s="98"/>
      <c r="XW17" s="96"/>
      <c r="XX17" s="97"/>
      <c r="XY17" s="98"/>
      <c r="XZ17" s="96"/>
      <c r="YA17" s="97"/>
      <c r="YB17" s="98"/>
      <c r="YC17" s="96"/>
      <c r="YD17" s="97"/>
      <c r="YE17" s="98"/>
      <c r="YF17" s="96"/>
      <c r="YG17" s="97"/>
      <c r="YH17" s="98"/>
      <c r="YI17" s="96"/>
      <c r="YJ17" s="97"/>
      <c r="YK17" s="98"/>
      <c r="YL17" s="96"/>
      <c r="YM17" s="97"/>
      <c r="YN17" s="98"/>
      <c r="YO17" s="96"/>
      <c r="YP17" s="97"/>
      <c r="YQ17" s="98"/>
      <c r="YR17" s="96"/>
      <c r="YS17" s="97"/>
      <c r="YT17" s="98"/>
      <c r="YU17" s="96"/>
      <c r="YV17" s="97"/>
      <c r="YW17" s="98"/>
      <c r="YX17" s="96"/>
      <c r="YY17" s="97"/>
      <c r="YZ17" s="98"/>
      <c r="ZA17" s="96"/>
      <c r="ZB17" s="97"/>
      <c r="ZC17" s="98"/>
      <c r="ZD17" s="96"/>
      <c r="ZE17" s="97"/>
      <c r="ZF17" s="98"/>
      <c r="ZG17" s="96"/>
      <c r="ZH17" s="97"/>
      <c r="ZI17" s="98"/>
      <c r="ZJ17" s="96"/>
      <c r="ZK17" s="97"/>
      <c r="ZL17" s="98"/>
      <c r="ZM17" s="96"/>
      <c r="ZN17" s="97"/>
      <c r="ZO17" s="98"/>
      <c r="ZP17" s="96"/>
      <c r="ZQ17" s="97"/>
      <c r="ZR17" s="98"/>
      <c r="ZS17" s="96"/>
      <c r="ZT17" s="97"/>
      <c r="ZU17" s="98"/>
      <c r="ZV17" s="96"/>
      <c r="ZW17" s="97"/>
      <c r="ZX17" s="98"/>
      <c r="ZY17" s="96"/>
      <c r="ZZ17" s="97"/>
      <c r="AAA17" s="98"/>
      <c r="AAB17" s="96"/>
      <c r="AAC17" s="97"/>
      <c r="AAD17" s="98"/>
      <c r="AAE17" s="96"/>
      <c r="AAF17" s="97"/>
      <c r="AAG17" s="98"/>
      <c r="AAH17" s="96"/>
      <c r="AAI17" s="97"/>
      <c r="AAJ17" s="98"/>
      <c r="AAK17" s="96"/>
      <c r="AAL17" s="97"/>
      <c r="AAM17" s="98"/>
      <c r="AAN17" s="96"/>
      <c r="AAO17" s="97"/>
      <c r="AAP17" s="98"/>
      <c r="AAQ17" s="96"/>
      <c r="AAR17" s="97"/>
      <c r="AAS17" s="98"/>
      <c r="AAT17" s="96"/>
      <c r="AAU17" s="99"/>
      <c r="AAV17" s="95"/>
      <c r="AAW17" s="96"/>
      <c r="AAX17" s="97"/>
      <c r="AAY17" s="98"/>
      <c r="AAZ17" s="96"/>
      <c r="ABA17" s="97"/>
      <c r="ABB17" s="98"/>
      <c r="ABC17" s="96"/>
      <c r="ABD17" s="97"/>
      <c r="ABE17" s="98"/>
      <c r="ABF17" s="96"/>
      <c r="ABG17" s="97"/>
      <c r="ABH17" s="98"/>
      <c r="ABI17" s="96"/>
      <c r="ABJ17" s="97"/>
      <c r="ABK17" s="98"/>
      <c r="ABL17" s="96"/>
      <c r="ABM17" s="97"/>
      <c r="ABN17" s="98"/>
      <c r="ABO17" s="96"/>
      <c r="ABP17" s="97"/>
      <c r="ABQ17" s="98"/>
      <c r="ABR17" s="96"/>
      <c r="ABS17" s="97"/>
      <c r="ABT17" s="98"/>
      <c r="ABU17" s="96"/>
      <c r="ABV17" s="97"/>
      <c r="ABW17" s="98"/>
      <c r="ABX17" s="96"/>
      <c r="ABY17" s="97"/>
      <c r="ABZ17" s="98"/>
      <c r="ACA17" s="96"/>
      <c r="ACB17" s="97"/>
      <c r="ACC17" s="98"/>
      <c r="ACD17" s="96"/>
      <c r="ACE17" s="97"/>
      <c r="ACF17" s="98"/>
      <c r="ACG17" s="96"/>
      <c r="ACH17" s="97"/>
      <c r="ACI17" s="98"/>
      <c r="ACJ17" s="96"/>
      <c r="ACK17" s="97"/>
      <c r="ACL17" s="98"/>
      <c r="ACM17" s="96"/>
      <c r="ACN17" s="97"/>
      <c r="ACO17" s="98"/>
      <c r="ACP17" s="96"/>
      <c r="ACQ17" s="97"/>
      <c r="ACR17" s="98"/>
      <c r="ACS17" s="96"/>
      <c r="ACT17" s="97"/>
      <c r="ACU17" s="98"/>
      <c r="ACV17" s="96"/>
      <c r="ACW17" s="97"/>
      <c r="ACX17" s="98"/>
      <c r="ACY17" s="96"/>
      <c r="ACZ17" s="97"/>
      <c r="ADA17" s="98"/>
      <c r="ADB17" s="96"/>
      <c r="ADC17" s="97"/>
      <c r="ADD17" s="98"/>
      <c r="ADE17" s="96"/>
      <c r="ADF17" s="97"/>
      <c r="ADG17" s="98"/>
      <c r="ADH17" s="96"/>
      <c r="ADI17" s="97"/>
      <c r="ADJ17" s="98"/>
      <c r="ADK17" s="96"/>
      <c r="ADL17" s="97"/>
      <c r="ADM17" s="98"/>
      <c r="ADN17" s="96"/>
      <c r="ADO17" s="97"/>
      <c r="ADP17" s="98"/>
      <c r="ADQ17" s="96"/>
      <c r="ADR17" s="97"/>
      <c r="ADS17" s="98"/>
      <c r="ADT17" s="96"/>
      <c r="ADU17" s="97"/>
      <c r="ADV17" s="98"/>
      <c r="ADW17" s="96"/>
      <c r="ADX17" s="97"/>
      <c r="ADY17" s="98"/>
      <c r="ADZ17" s="96"/>
      <c r="AEA17" s="97"/>
      <c r="AEB17" s="98"/>
      <c r="AEC17" s="96"/>
      <c r="AED17" s="97"/>
      <c r="AEE17" s="98"/>
      <c r="AEF17" s="96"/>
      <c r="AEG17" s="99"/>
    </row>
    <row r="18" spans="2:813" ht="19.5" customHeight="1" thickBot="1" x14ac:dyDescent="0.3">
      <c r="B18" s="191"/>
      <c r="C18" s="107">
        <v>3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51"/>
      <c r="CK18" s="149"/>
      <c r="CL18" s="150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5"/>
      <c r="GB18" s="101"/>
      <c r="GC18" s="102"/>
      <c r="GD18" s="103"/>
      <c r="GE18" s="104"/>
      <c r="GF18" s="102"/>
      <c r="GG18" s="103"/>
      <c r="GH18" s="104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5"/>
      <c r="JN18" s="101"/>
      <c r="JO18" s="102"/>
      <c r="JP18" s="103"/>
      <c r="JQ18" s="104"/>
      <c r="JR18" s="102"/>
      <c r="JS18" s="103"/>
      <c r="JT18" s="104"/>
      <c r="JU18" s="102"/>
      <c r="JV18" s="103"/>
      <c r="JW18" s="104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5"/>
      <c r="MZ18" s="101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3"/>
      <c r="NL18" s="104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5"/>
      <c r="QL18" s="101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3"/>
      <c r="RA18" s="104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5"/>
      <c r="TX18" s="101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3"/>
      <c r="UP18" s="104"/>
      <c r="UQ18" s="102"/>
      <c r="UR18" s="103"/>
      <c r="US18" s="104"/>
      <c r="UT18" s="102"/>
      <c r="UU18" s="103"/>
      <c r="UV18" s="104"/>
      <c r="UW18" s="102"/>
      <c r="UX18" s="103"/>
      <c r="UY18" s="104"/>
      <c r="UZ18" s="102"/>
      <c r="VA18" s="103"/>
      <c r="VB18" s="104"/>
      <c r="VC18" s="102"/>
      <c r="VD18" s="103"/>
      <c r="VE18" s="104"/>
      <c r="VF18" s="102"/>
      <c r="VG18" s="103"/>
      <c r="VH18" s="104"/>
      <c r="VI18" s="102"/>
      <c r="VJ18" s="103"/>
      <c r="VK18" s="104"/>
      <c r="VL18" s="102"/>
      <c r="VM18" s="103"/>
      <c r="VN18" s="104"/>
      <c r="VO18" s="102"/>
      <c r="VP18" s="103"/>
      <c r="VQ18" s="104"/>
      <c r="VR18" s="102"/>
      <c r="VS18" s="103"/>
      <c r="VT18" s="104"/>
      <c r="VU18" s="102"/>
      <c r="VV18" s="103"/>
      <c r="VW18" s="104"/>
      <c r="VX18" s="102"/>
      <c r="VY18" s="103"/>
      <c r="VZ18" s="104"/>
      <c r="WA18" s="102"/>
      <c r="WB18" s="103"/>
      <c r="WC18" s="104"/>
      <c r="WD18" s="102"/>
      <c r="WE18" s="103"/>
      <c r="WF18" s="104"/>
      <c r="WG18" s="102"/>
      <c r="WH18" s="103"/>
      <c r="WI18" s="104"/>
      <c r="WJ18" s="102"/>
      <c r="WK18" s="103"/>
      <c r="WL18" s="104"/>
      <c r="WM18" s="102"/>
      <c r="WN18" s="103"/>
      <c r="WO18" s="104"/>
      <c r="WP18" s="102"/>
      <c r="WQ18" s="103"/>
      <c r="WR18" s="104"/>
      <c r="WS18" s="102"/>
      <c r="WT18" s="103"/>
      <c r="WU18" s="104"/>
      <c r="WV18" s="102"/>
      <c r="WW18" s="103"/>
      <c r="WX18" s="104"/>
      <c r="WY18" s="102"/>
      <c r="WZ18" s="103"/>
      <c r="XA18" s="104"/>
      <c r="XB18" s="102"/>
      <c r="XC18" s="103"/>
      <c r="XD18" s="104"/>
      <c r="XE18" s="102"/>
      <c r="XF18" s="103"/>
      <c r="XG18" s="104"/>
      <c r="XH18" s="102"/>
      <c r="XI18" s="105"/>
      <c r="XJ18" s="101"/>
      <c r="XK18" s="102"/>
      <c r="XL18" s="103"/>
      <c r="XM18" s="104"/>
      <c r="XN18" s="102"/>
      <c r="XO18" s="103"/>
      <c r="XP18" s="104"/>
      <c r="XQ18" s="102"/>
      <c r="XR18" s="103"/>
      <c r="XS18" s="104"/>
      <c r="XT18" s="102"/>
      <c r="XU18" s="103"/>
      <c r="XV18" s="104"/>
      <c r="XW18" s="102"/>
      <c r="XX18" s="103"/>
      <c r="XY18" s="104"/>
      <c r="XZ18" s="102"/>
      <c r="YA18" s="103"/>
      <c r="YB18" s="104"/>
      <c r="YC18" s="102"/>
      <c r="YD18" s="103"/>
      <c r="YE18" s="104"/>
      <c r="YF18" s="102"/>
      <c r="YG18" s="103"/>
      <c r="YH18" s="104"/>
      <c r="YI18" s="102"/>
      <c r="YJ18" s="103"/>
      <c r="YK18" s="104"/>
      <c r="YL18" s="102"/>
      <c r="YM18" s="103"/>
      <c r="YN18" s="104"/>
      <c r="YO18" s="102"/>
      <c r="YP18" s="103"/>
      <c r="YQ18" s="104"/>
      <c r="YR18" s="102"/>
      <c r="YS18" s="103"/>
      <c r="YT18" s="104"/>
      <c r="YU18" s="102"/>
      <c r="YV18" s="103"/>
      <c r="YW18" s="104"/>
      <c r="YX18" s="102"/>
      <c r="YY18" s="103"/>
      <c r="YZ18" s="104"/>
      <c r="ZA18" s="102"/>
      <c r="ZB18" s="103"/>
      <c r="ZC18" s="104"/>
      <c r="ZD18" s="102"/>
      <c r="ZE18" s="103"/>
      <c r="ZF18" s="104"/>
      <c r="ZG18" s="102"/>
      <c r="ZH18" s="103"/>
      <c r="ZI18" s="104"/>
      <c r="ZJ18" s="102"/>
      <c r="ZK18" s="103"/>
      <c r="ZL18" s="104"/>
      <c r="ZM18" s="102"/>
      <c r="ZN18" s="103"/>
      <c r="ZO18" s="104"/>
      <c r="ZP18" s="102"/>
      <c r="ZQ18" s="103"/>
      <c r="ZR18" s="104"/>
      <c r="ZS18" s="102"/>
      <c r="ZT18" s="103"/>
      <c r="ZU18" s="104"/>
      <c r="ZV18" s="102"/>
      <c r="ZW18" s="103"/>
      <c r="ZX18" s="104"/>
      <c r="ZY18" s="102"/>
      <c r="ZZ18" s="103"/>
      <c r="AAA18" s="104"/>
      <c r="AAB18" s="102"/>
      <c r="AAC18" s="103"/>
      <c r="AAD18" s="104"/>
      <c r="AAE18" s="102"/>
      <c r="AAF18" s="103"/>
      <c r="AAG18" s="104"/>
      <c r="AAH18" s="102"/>
      <c r="AAI18" s="103"/>
      <c r="AAJ18" s="104"/>
      <c r="AAK18" s="102"/>
      <c r="AAL18" s="103"/>
      <c r="AAM18" s="104"/>
      <c r="AAN18" s="102"/>
      <c r="AAO18" s="103"/>
      <c r="AAP18" s="104"/>
      <c r="AAQ18" s="102"/>
      <c r="AAR18" s="103"/>
      <c r="AAS18" s="104"/>
      <c r="AAT18" s="102"/>
      <c r="AAU18" s="105"/>
      <c r="AAV18" s="101"/>
      <c r="AAW18" s="102"/>
      <c r="AAX18" s="103"/>
      <c r="AAY18" s="104"/>
      <c r="AAZ18" s="102"/>
      <c r="ABA18" s="103"/>
      <c r="ABB18" s="104"/>
      <c r="ABC18" s="102"/>
      <c r="ABD18" s="103"/>
      <c r="ABE18" s="104"/>
      <c r="ABF18" s="102"/>
      <c r="ABG18" s="103"/>
      <c r="ABH18" s="104"/>
      <c r="ABI18" s="102"/>
      <c r="ABJ18" s="103"/>
      <c r="ABK18" s="104"/>
      <c r="ABL18" s="102"/>
      <c r="ABM18" s="103"/>
      <c r="ABN18" s="104"/>
      <c r="ABO18" s="102"/>
      <c r="ABP18" s="103"/>
      <c r="ABQ18" s="104"/>
      <c r="ABR18" s="102"/>
      <c r="ABS18" s="103"/>
      <c r="ABT18" s="104"/>
      <c r="ABU18" s="102"/>
      <c r="ABV18" s="103"/>
      <c r="ABW18" s="104"/>
      <c r="ABX18" s="102"/>
      <c r="ABY18" s="103"/>
      <c r="ABZ18" s="104"/>
      <c r="ACA18" s="102"/>
      <c r="ACB18" s="103"/>
      <c r="ACC18" s="104"/>
      <c r="ACD18" s="102"/>
      <c r="ACE18" s="103"/>
      <c r="ACF18" s="104"/>
      <c r="ACG18" s="102"/>
      <c r="ACH18" s="103"/>
      <c r="ACI18" s="104"/>
      <c r="ACJ18" s="102"/>
      <c r="ACK18" s="103"/>
      <c r="ACL18" s="104"/>
      <c r="ACM18" s="102"/>
      <c r="ACN18" s="103"/>
      <c r="ACO18" s="104"/>
      <c r="ACP18" s="102"/>
      <c r="ACQ18" s="103"/>
      <c r="ACR18" s="104"/>
      <c r="ACS18" s="102"/>
      <c r="ACT18" s="103"/>
      <c r="ACU18" s="104"/>
      <c r="ACV18" s="102"/>
      <c r="ACW18" s="103"/>
      <c r="ACX18" s="104"/>
      <c r="ACY18" s="102"/>
      <c r="ACZ18" s="103"/>
      <c r="ADA18" s="104"/>
      <c r="ADB18" s="102"/>
      <c r="ADC18" s="103"/>
      <c r="ADD18" s="104"/>
      <c r="ADE18" s="102"/>
      <c r="ADF18" s="103"/>
      <c r="ADG18" s="104"/>
      <c r="ADH18" s="102"/>
      <c r="ADI18" s="103"/>
      <c r="ADJ18" s="104"/>
      <c r="ADK18" s="102"/>
      <c r="ADL18" s="103"/>
      <c r="ADM18" s="104"/>
      <c r="ADN18" s="102"/>
      <c r="ADO18" s="103"/>
      <c r="ADP18" s="104"/>
      <c r="ADQ18" s="102"/>
      <c r="ADR18" s="103"/>
      <c r="ADS18" s="104"/>
      <c r="ADT18" s="102"/>
      <c r="ADU18" s="103"/>
      <c r="ADV18" s="104"/>
      <c r="ADW18" s="102"/>
      <c r="ADX18" s="103"/>
      <c r="ADY18" s="104"/>
      <c r="ADZ18" s="102"/>
      <c r="AEA18" s="103"/>
      <c r="AEB18" s="104"/>
      <c r="AEC18" s="102"/>
      <c r="AED18" s="103"/>
      <c r="AEE18" s="104"/>
      <c r="AEF18" s="102"/>
      <c r="AEG18" s="105"/>
    </row>
    <row r="19" spans="2:813" ht="19.5" customHeight="1" x14ac:dyDescent="0.25">
      <c r="B19" s="190" t="str">
        <f>Donnees!$C$28</f>
        <v>REALISER : Interface Web</v>
      </c>
      <c r="C19" s="106">
        <v>11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155"/>
      <c r="EY19" s="153"/>
      <c r="EZ19" s="154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154"/>
      <c r="FM19" s="155"/>
      <c r="FN19" s="153"/>
      <c r="FO19" s="154"/>
      <c r="FP19" s="155"/>
      <c r="FQ19" s="153"/>
      <c r="FR19" s="154"/>
      <c r="FS19" s="155"/>
      <c r="FT19" s="96"/>
      <c r="FU19" s="97"/>
      <c r="FV19" s="98"/>
      <c r="FW19" s="96"/>
      <c r="FX19" s="97"/>
      <c r="FY19" s="98"/>
      <c r="FZ19" s="96"/>
      <c r="GA19" s="99"/>
      <c r="GB19" s="95"/>
      <c r="GC19" s="96"/>
      <c r="GD19" s="97"/>
      <c r="GE19" s="98"/>
      <c r="GF19" s="96"/>
      <c r="GG19" s="97"/>
      <c r="GH19" s="98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9"/>
      <c r="JN19" s="95"/>
      <c r="JO19" s="96"/>
      <c r="JP19" s="97"/>
      <c r="JQ19" s="98"/>
      <c r="JR19" s="96"/>
      <c r="JS19" s="97"/>
      <c r="JT19" s="98"/>
      <c r="JU19" s="96"/>
      <c r="JV19" s="97"/>
      <c r="JW19" s="98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9"/>
      <c r="MZ19" s="95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7"/>
      <c r="NL19" s="98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9"/>
      <c r="QL19" s="95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7"/>
      <c r="RA19" s="98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9"/>
      <c r="TX19" s="95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7"/>
      <c r="UP19" s="98"/>
      <c r="UQ19" s="96"/>
      <c r="UR19" s="97"/>
      <c r="US19" s="98"/>
      <c r="UT19" s="96"/>
      <c r="UU19" s="97"/>
      <c r="UV19" s="98"/>
      <c r="UW19" s="96"/>
      <c r="UX19" s="97"/>
      <c r="UY19" s="98"/>
      <c r="UZ19" s="96"/>
      <c r="VA19" s="97"/>
      <c r="VB19" s="98"/>
      <c r="VC19" s="96"/>
      <c r="VD19" s="97"/>
      <c r="VE19" s="98"/>
      <c r="VF19" s="96"/>
      <c r="VG19" s="97"/>
      <c r="VH19" s="98"/>
      <c r="VI19" s="96"/>
      <c r="VJ19" s="97"/>
      <c r="VK19" s="98"/>
      <c r="VL19" s="96"/>
      <c r="VM19" s="97"/>
      <c r="VN19" s="98"/>
      <c r="VO19" s="96"/>
      <c r="VP19" s="97"/>
      <c r="VQ19" s="98"/>
      <c r="VR19" s="96"/>
      <c r="VS19" s="97"/>
      <c r="VT19" s="98"/>
      <c r="VU19" s="96"/>
      <c r="VV19" s="97"/>
      <c r="VW19" s="98"/>
      <c r="VX19" s="96"/>
      <c r="VY19" s="97"/>
      <c r="VZ19" s="98"/>
      <c r="WA19" s="96"/>
      <c r="WB19" s="97"/>
      <c r="WC19" s="98"/>
      <c r="WD19" s="96"/>
      <c r="WE19" s="97"/>
      <c r="WF19" s="98"/>
      <c r="WG19" s="96"/>
      <c r="WH19" s="97"/>
      <c r="WI19" s="98"/>
      <c r="WJ19" s="96"/>
      <c r="WK19" s="97"/>
      <c r="WL19" s="98"/>
      <c r="WM19" s="96"/>
      <c r="WN19" s="97"/>
      <c r="WO19" s="98"/>
      <c r="WP19" s="96"/>
      <c r="WQ19" s="97"/>
      <c r="WR19" s="98"/>
      <c r="WS19" s="96"/>
      <c r="WT19" s="97"/>
      <c r="WU19" s="98"/>
      <c r="WV19" s="96"/>
      <c r="WW19" s="97"/>
      <c r="WX19" s="98"/>
      <c r="WY19" s="96"/>
      <c r="WZ19" s="97"/>
      <c r="XA19" s="98"/>
      <c r="XB19" s="96"/>
      <c r="XC19" s="97"/>
      <c r="XD19" s="98"/>
      <c r="XE19" s="96"/>
      <c r="XF19" s="97"/>
      <c r="XG19" s="98"/>
      <c r="XH19" s="96"/>
      <c r="XI19" s="99"/>
      <c r="XJ19" s="95"/>
      <c r="XK19" s="96"/>
      <c r="XL19" s="97"/>
      <c r="XM19" s="98"/>
      <c r="XN19" s="96"/>
      <c r="XO19" s="97"/>
      <c r="XP19" s="98"/>
      <c r="XQ19" s="96"/>
      <c r="XR19" s="97"/>
      <c r="XS19" s="98"/>
      <c r="XT19" s="96"/>
      <c r="XU19" s="97"/>
      <c r="XV19" s="98"/>
      <c r="XW19" s="96"/>
      <c r="XX19" s="97"/>
      <c r="XY19" s="98"/>
      <c r="XZ19" s="96"/>
      <c r="YA19" s="97"/>
      <c r="YB19" s="98"/>
      <c r="YC19" s="96"/>
      <c r="YD19" s="97"/>
      <c r="YE19" s="98"/>
      <c r="YF19" s="96"/>
      <c r="YG19" s="97"/>
      <c r="YH19" s="98"/>
      <c r="YI19" s="96"/>
      <c r="YJ19" s="97"/>
      <c r="YK19" s="98"/>
      <c r="YL19" s="96"/>
      <c r="YM19" s="97"/>
      <c r="YN19" s="98"/>
      <c r="YO19" s="96"/>
      <c r="YP19" s="97"/>
      <c r="YQ19" s="98"/>
      <c r="YR19" s="96"/>
      <c r="YS19" s="97"/>
      <c r="YT19" s="98"/>
      <c r="YU19" s="96"/>
      <c r="YV19" s="97"/>
      <c r="YW19" s="98"/>
      <c r="YX19" s="96"/>
      <c r="YY19" s="97"/>
      <c r="YZ19" s="98"/>
      <c r="ZA19" s="96"/>
      <c r="ZB19" s="97"/>
      <c r="ZC19" s="98"/>
      <c r="ZD19" s="96"/>
      <c r="ZE19" s="97"/>
      <c r="ZF19" s="98"/>
      <c r="ZG19" s="96"/>
      <c r="ZH19" s="97"/>
      <c r="ZI19" s="98"/>
      <c r="ZJ19" s="96"/>
      <c r="ZK19" s="97"/>
      <c r="ZL19" s="98"/>
      <c r="ZM19" s="96"/>
      <c r="ZN19" s="97"/>
      <c r="ZO19" s="98"/>
      <c r="ZP19" s="96"/>
      <c r="ZQ19" s="97"/>
      <c r="ZR19" s="98"/>
      <c r="ZS19" s="96"/>
      <c r="ZT19" s="97"/>
      <c r="ZU19" s="98"/>
      <c r="ZV19" s="96"/>
      <c r="ZW19" s="97"/>
      <c r="ZX19" s="98"/>
      <c r="ZY19" s="96"/>
      <c r="ZZ19" s="97"/>
      <c r="AAA19" s="98"/>
      <c r="AAB19" s="96"/>
      <c r="AAC19" s="97"/>
      <c r="AAD19" s="98"/>
      <c r="AAE19" s="96"/>
      <c r="AAF19" s="97"/>
      <c r="AAG19" s="98"/>
      <c r="AAH19" s="96"/>
      <c r="AAI19" s="97"/>
      <c r="AAJ19" s="98"/>
      <c r="AAK19" s="96"/>
      <c r="AAL19" s="97"/>
      <c r="AAM19" s="98"/>
      <c r="AAN19" s="96"/>
      <c r="AAO19" s="97"/>
      <c r="AAP19" s="98"/>
      <c r="AAQ19" s="96"/>
      <c r="AAR19" s="97"/>
      <c r="AAS19" s="98"/>
      <c r="AAT19" s="96"/>
      <c r="AAU19" s="99"/>
      <c r="AAV19" s="95"/>
      <c r="AAW19" s="96"/>
      <c r="AAX19" s="97"/>
      <c r="AAY19" s="98"/>
      <c r="AAZ19" s="96"/>
      <c r="ABA19" s="97"/>
      <c r="ABB19" s="98"/>
      <c r="ABC19" s="96"/>
      <c r="ABD19" s="97"/>
      <c r="ABE19" s="98"/>
      <c r="ABF19" s="96"/>
      <c r="ABG19" s="97"/>
      <c r="ABH19" s="98"/>
      <c r="ABI19" s="96"/>
      <c r="ABJ19" s="97"/>
      <c r="ABK19" s="98"/>
      <c r="ABL19" s="96"/>
      <c r="ABM19" s="97"/>
      <c r="ABN19" s="98"/>
      <c r="ABO19" s="96"/>
      <c r="ABP19" s="97"/>
      <c r="ABQ19" s="98"/>
      <c r="ABR19" s="96"/>
      <c r="ABS19" s="97"/>
      <c r="ABT19" s="98"/>
      <c r="ABU19" s="96"/>
      <c r="ABV19" s="97"/>
      <c r="ABW19" s="98"/>
      <c r="ABX19" s="96"/>
      <c r="ABY19" s="97"/>
      <c r="ABZ19" s="98"/>
      <c r="ACA19" s="96"/>
      <c r="ACB19" s="97"/>
      <c r="ACC19" s="98"/>
      <c r="ACD19" s="96"/>
      <c r="ACE19" s="97"/>
      <c r="ACF19" s="98"/>
      <c r="ACG19" s="96"/>
      <c r="ACH19" s="97"/>
      <c r="ACI19" s="98"/>
      <c r="ACJ19" s="96"/>
      <c r="ACK19" s="97"/>
      <c r="ACL19" s="98"/>
      <c r="ACM19" s="96"/>
      <c r="ACN19" s="97"/>
      <c r="ACO19" s="98"/>
      <c r="ACP19" s="96"/>
      <c r="ACQ19" s="97"/>
      <c r="ACR19" s="98"/>
      <c r="ACS19" s="96"/>
      <c r="ACT19" s="97"/>
      <c r="ACU19" s="98"/>
      <c r="ACV19" s="96"/>
      <c r="ACW19" s="97"/>
      <c r="ACX19" s="98"/>
      <c r="ACY19" s="96"/>
      <c r="ACZ19" s="97"/>
      <c r="ADA19" s="98"/>
      <c r="ADB19" s="96"/>
      <c r="ADC19" s="97"/>
      <c r="ADD19" s="98"/>
      <c r="ADE19" s="96"/>
      <c r="ADF19" s="97"/>
      <c r="ADG19" s="98"/>
      <c r="ADH19" s="96"/>
      <c r="ADI19" s="97"/>
      <c r="ADJ19" s="98"/>
      <c r="ADK19" s="96"/>
      <c r="ADL19" s="97"/>
      <c r="ADM19" s="98"/>
      <c r="ADN19" s="96"/>
      <c r="ADO19" s="97"/>
      <c r="ADP19" s="98"/>
      <c r="ADQ19" s="96"/>
      <c r="ADR19" s="97"/>
      <c r="ADS19" s="98"/>
      <c r="ADT19" s="96"/>
      <c r="ADU19" s="97"/>
      <c r="ADV19" s="98"/>
      <c r="ADW19" s="96"/>
      <c r="ADX19" s="97"/>
      <c r="ADY19" s="98"/>
      <c r="ADZ19" s="96"/>
      <c r="AEA19" s="97"/>
      <c r="AEB19" s="98"/>
      <c r="AEC19" s="96"/>
      <c r="AED19" s="97"/>
      <c r="AEE19" s="98"/>
      <c r="AEF19" s="96"/>
      <c r="AEG19" s="99"/>
    </row>
    <row r="20" spans="2:813" ht="19.5" customHeight="1" thickBot="1" x14ac:dyDescent="0.3">
      <c r="B20" s="191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04"/>
      <c r="EG20" s="102"/>
      <c r="EH20" s="103"/>
      <c r="EI20" s="104"/>
      <c r="EJ20" s="102"/>
      <c r="EK20" s="103"/>
      <c r="EL20" s="104"/>
      <c r="EM20" s="102"/>
      <c r="EN20" s="103"/>
      <c r="EO20" s="104"/>
      <c r="EP20" s="102"/>
      <c r="EQ20" s="103"/>
      <c r="ER20" s="104"/>
      <c r="ES20" s="102"/>
      <c r="ET20" s="103"/>
      <c r="EU20" s="104"/>
      <c r="EV20" s="102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5"/>
      <c r="GB20" s="101"/>
      <c r="GC20" s="102"/>
      <c r="GD20" s="103"/>
      <c r="GE20" s="104"/>
      <c r="GF20" s="102"/>
      <c r="GG20" s="103"/>
      <c r="GH20" s="104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5"/>
      <c r="JN20" s="101"/>
      <c r="JO20" s="102"/>
      <c r="JP20" s="103"/>
      <c r="JQ20" s="104"/>
      <c r="JR20" s="102"/>
      <c r="JS20" s="103"/>
      <c r="JT20" s="104"/>
      <c r="JU20" s="102"/>
      <c r="JV20" s="103"/>
      <c r="JW20" s="104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5"/>
      <c r="MZ20" s="101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3"/>
      <c r="NL20" s="104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5"/>
      <c r="QL20" s="101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3"/>
      <c r="RA20" s="104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5"/>
      <c r="TX20" s="101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3"/>
      <c r="UP20" s="104"/>
      <c r="UQ20" s="102"/>
      <c r="UR20" s="103"/>
      <c r="US20" s="104"/>
      <c r="UT20" s="102"/>
      <c r="UU20" s="103"/>
      <c r="UV20" s="104"/>
      <c r="UW20" s="102"/>
      <c r="UX20" s="103"/>
      <c r="UY20" s="104"/>
      <c r="UZ20" s="102"/>
      <c r="VA20" s="103"/>
      <c r="VB20" s="104"/>
      <c r="VC20" s="102"/>
      <c r="VD20" s="103"/>
      <c r="VE20" s="104"/>
      <c r="VF20" s="102"/>
      <c r="VG20" s="103"/>
      <c r="VH20" s="104"/>
      <c r="VI20" s="102"/>
      <c r="VJ20" s="103"/>
      <c r="VK20" s="104"/>
      <c r="VL20" s="102"/>
      <c r="VM20" s="103"/>
      <c r="VN20" s="104"/>
      <c r="VO20" s="102"/>
      <c r="VP20" s="103"/>
      <c r="VQ20" s="104"/>
      <c r="VR20" s="102"/>
      <c r="VS20" s="103"/>
      <c r="VT20" s="104"/>
      <c r="VU20" s="102"/>
      <c r="VV20" s="103"/>
      <c r="VW20" s="104"/>
      <c r="VX20" s="102"/>
      <c r="VY20" s="103"/>
      <c r="VZ20" s="104"/>
      <c r="WA20" s="102"/>
      <c r="WB20" s="103"/>
      <c r="WC20" s="104"/>
      <c r="WD20" s="102"/>
      <c r="WE20" s="103"/>
      <c r="WF20" s="104"/>
      <c r="WG20" s="102"/>
      <c r="WH20" s="103"/>
      <c r="WI20" s="104"/>
      <c r="WJ20" s="102"/>
      <c r="WK20" s="103"/>
      <c r="WL20" s="104"/>
      <c r="WM20" s="102"/>
      <c r="WN20" s="103"/>
      <c r="WO20" s="104"/>
      <c r="WP20" s="102"/>
      <c r="WQ20" s="103"/>
      <c r="WR20" s="104"/>
      <c r="WS20" s="102"/>
      <c r="WT20" s="103"/>
      <c r="WU20" s="104"/>
      <c r="WV20" s="102"/>
      <c r="WW20" s="103"/>
      <c r="WX20" s="104"/>
      <c r="WY20" s="102"/>
      <c r="WZ20" s="103"/>
      <c r="XA20" s="104"/>
      <c r="XB20" s="102"/>
      <c r="XC20" s="103"/>
      <c r="XD20" s="104"/>
      <c r="XE20" s="102"/>
      <c r="XF20" s="103"/>
      <c r="XG20" s="104"/>
      <c r="XH20" s="102"/>
      <c r="XI20" s="105"/>
      <c r="XJ20" s="101"/>
      <c r="XK20" s="102"/>
      <c r="XL20" s="103"/>
      <c r="XM20" s="104"/>
      <c r="XN20" s="102"/>
      <c r="XO20" s="103"/>
      <c r="XP20" s="104"/>
      <c r="XQ20" s="102"/>
      <c r="XR20" s="103"/>
      <c r="XS20" s="104"/>
      <c r="XT20" s="102"/>
      <c r="XU20" s="103"/>
      <c r="XV20" s="104"/>
      <c r="XW20" s="102"/>
      <c r="XX20" s="103"/>
      <c r="XY20" s="104"/>
      <c r="XZ20" s="102"/>
      <c r="YA20" s="103"/>
      <c r="YB20" s="104"/>
      <c r="YC20" s="102"/>
      <c r="YD20" s="103"/>
      <c r="YE20" s="104"/>
      <c r="YF20" s="102"/>
      <c r="YG20" s="103"/>
      <c r="YH20" s="104"/>
      <c r="YI20" s="102"/>
      <c r="YJ20" s="103"/>
      <c r="YK20" s="104"/>
      <c r="YL20" s="102"/>
      <c r="YM20" s="103"/>
      <c r="YN20" s="104"/>
      <c r="YO20" s="102"/>
      <c r="YP20" s="103"/>
      <c r="YQ20" s="104"/>
      <c r="YR20" s="102"/>
      <c r="YS20" s="103"/>
      <c r="YT20" s="104"/>
      <c r="YU20" s="102"/>
      <c r="YV20" s="103"/>
      <c r="YW20" s="104"/>
      <c r="YX20" s="102"/>
      <c r="YY20" s="103"/>
      <c r="YZ20" s="104"/>
      <c r="ZA20" s="102"/>
      <c r="ZB20" s="103"/>
      <c r="ZC20" s="104"/>
      <c r="ZD20" s="102"/>
      <c r="ZE20" s="103"/>
      <c r="ZF20" s="104"/>
      <c r="ZG20" s="102"/>
      <c r="ZH20" s="103"/>
      <c r="ZI20" s="104"/>
      <c r="ZJ20" s="102"/>
      <c r="ZK20" s="103"/>
      <c r="ZL20" s="104"/>
      <c r="ZM20" s="102"/>
      <c r="ZN20" s="103"/>
      <c r="ZO20" s="104"/>
      <c r="ZP20" s="102"/>
      <c r="ZQ20" s="103"/>
      <c r="ZR20" s="104"/>
      <c r="ZS20" s="102"/>
      <c r="ZT20" s="103"/>
      <c r="ZU20" s="104"/>
      <c r="ZV20" s="102"/>
      <c r="ZW20" s="103"/>
      <c r="ZX20" s="104"/>
      <c r="ZY20" s="102"/>
      <c r="ZZ20" s="103"/>
      <c r="AAA20" s="104"/>
      <c r="AAB20" s="102"/>
      <c r="AAC20" s="103"/>
      <c r="AAD20" s="104"/>
      <c r="AAE20" s="102"/>
      <c r="AAF20" s="103"/>
      <c r="AAG20" s="104"/>
      <c r="AAH20" s="102"/>
      <c r="AAI20" s="103"/>
      <c r="AAJ20" s="104"/>
      <c r="AAK20" s="102"/>
      <c r="AAL20" s="103"/>
      <c r="AAM20" s="104"/>
      <c r="AAN20" s="102"/>
      <c r="AAO20" s="103"/>
      <c r="AAP20" s="104"/>
      <c r="AAQ20" s="102"/>
      <c r="AAR20" s="103"/>
      <c r="AAS20" s="104"/>
      <c r="AAT20" s="102"/>
      <c r="AAU20" s="105"/>
      <c r="AAV20" s="101"/>
      <c r="AAW20" s="102"/>
      <c r="AAX20" s="103"/>
      <c r="AAY20" s="104"/>
      <c r="AAZ20" s="102"/>
      <c r="ABA20" s="103"/>
      <c r="ABB20" s="104"/>
      <c r="ABC20" s="102"/>
      <c r="ABD20" s="103"/>
      <c r="ABE20" s="104"/>
      <c r="ABF20" s="102"/>
      <c r="ABG20" s="103"/>
      <c r="ABH20" s="104"/>
      <c r="ABI20" s="102"/>
      <c r="ABJ20" s="103"/>
      <c r="ABK20" s="104"/>
      <c r="ABL20" s="102"/>
      <c r="ABM20" s="103"/>
      <c r="ABN20" s="104"/>
      <c r="ABO20" s="102"/>
      <c r="ABP20" s="103"/>
      <c r="ABQ20" s="104"/>
      <c r="ABR20" s="102"/>
      <c r="ABS20" s="103"/>
      <c r="ABT20" s="104"/>
      <c r="ABU20" s="102"/>
      <c r="ABV20" s="103"/>
      <c r="ABW20" s="104"/>
      <c r="ABX20" s="102"/>
      <c r="ABY20" s="103"/>
      <c r="ABZ20" s="104"/>
      <c r="ACA20" s="102"/>
      <c r="ACB20" s="103"/>
      <c r="ACC20" s="104"/>
      <c r="ACD20" s="102"/>
      <c r="ACE20" s="103"/>
      <c r="ACF20" s="104"/>
      <c r="ACG20" s="102"/>
      <c r="ACH20" s="103"/>
      <c r="ACI20" s="104"/>
      <c r="ACJ20" s="102"/>
      <c r="ACK20" s="103"/>
      <c r="ACL20" s="104"/>
      <c r="ACM20" s="102"/>
      <c r="ACN20" s="103"/>
      <c r="ACO20" s="104"/>
      <c r="ACP20" s="102"/>
      <c r="ACQ20" s="103"/>
      <c r="ACR20" s="104"/>
      <c r="ACS20" s="102"/>
      <c r="ACT20" s="103"/>
      <c r="ACU20" s="104"/>
      <c r="ACV20" s="102"/>
      <c r="ACW20" s="103"/>
      <c r="ACX20" s="104"/>
      <c r="ACY20" s="102"/>
      <c r="ACZ20" s="103"/>
      <c r="ADA20" s="104"/>
      <c r="ADB20" s="102"/>
      <c r="ADC20" s="103"/>
      <c r="ADD20" s="104"/>
      <c r="ADE20" s="102"/>
      <c r="ADF20" s="103"/>
      <c r="ADG20" s="104"/>
      <c r="ADH20" s="102"/>
      <c r="ADI20" s="103"/>
      <c r="ADJ20" s="104"/>
      <c r="ADK20" s="102"/>
      <c r="ADL20" s="103"/>
      <c r="ADM20" s="104"/>
      <c r="ADN20" s="102"/>
      <c r="ADO20" s="103"/>
      <c r="ADP20" s="104"/>
      <c r="ADQ20" s="102"/>
      <c r="ADR20" s="103"/>
      <c r="ADS20" s="104"/>
      <c r="ADT20" s="102"/>
      <c r="ADU20" s="103"/>
      <c r="ADV20" s="104"/>
      <c r="ADW20" s="102"/>
      <c r="ADX20" s="103"/>
      <c r="ADY20" s="104"/>
      <c r="ADZ20" s="102"/>
      <c r="AEA20" s="103"/>
      <c r="AEB20" s="104"/>
      <c r="AEC20" s="102"/>
      <c r="AED20" s="103"/>
      <c r="AEE20" s="104"/>
      <c r="AEF20" s="102"/>
      <c r="AEG20" s="105"/>
    </row>
    <row r="21" spans="2:813" ht="19.5" customHeight="1" x14ac:dyDescent="0.25">
      <c r="B21" s="190" t="str">
        <f>Donnees!$C$29</f>
        <v>REALISER : Relation avec la base de donnée en php</v>
      </c>
      <c r="C21" s="106">
        <v>27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9"/>
      <c r="CP21" s="95"/>
      <c r="CQ21" s="96"/>
      <c r="CR21" s="97"/>
      <c r="CS21" s="98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153"/>
      <c r="DY21" s="154"/>
      <c r="DZ21" s="155"/>
      <c r="EA21" s="153"/>
      <c r="EB21" s="154"/>
      <c r="EC21" s="155"/>
      <c r="ED21" s="153"/>
      <c r="EE21" s="154"/>
      <c r="EF21" s="155"/>
      <c r="EG21" s="153"/>
      <c r="EH21" s="154"/>
      <c r="EI21" s="155"/>
      <c r="EJ21" s="153"/>
      <c r="EK21" s="154"/>
      <c r="EL21" s="155"/>
      <c r="EM21" s="153"/>
      <c r="EN21" s="154"/>
      <c r="EO21" s="98"/>
      <c r="EP21" s="96"/>
      <c r="EQ21" s="97"/>
      <c r="ER21" s="98"/>
      <c r="ES21" s="96"/>
      <c r="ET21" s="154"/>
      <c r="EU21" s="155"/>
      <c r="EV21" s="153"/>
      <c r="EW21" s="154"/>
      <c r="EX21" s="98"/>
      <c r="EY21" s="96"/>
      <c r="EZ21" s="97"/>
      <c r="FA21" s="98"/>
      <c r="FB21" s="96"/>
      <c r="FC21" s="97"/>
      <c r="FD21" s="98"/>
      <c r="FE21" s="96"/>
      <c r="FF21" s="154"/>
      <c r="FG21" s="155"/>
      <c r="FH21" s="153"/>
      <c r="FI21" s="154"/>
      <c r="FJ21" s="155"/>
      <c r="FK21" s="153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9"/>
      <c r="GB21" s="95"/>
      <c r="GC21" s="96"/>
      <c r="GD21" s="97"/>
      <c r="GE21" s="98"/>
      <c r="GF21" s="96"/>
      <c r="GG21" s="97"/>
      <c r="GH21" s="98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9"/>
      <c r="JN21" s="95"/>
      <c r="JO21" s="96"/>
      <c r="JP21" s="97"/>
      <c r="JQ21" s="98"/>
      <c r="JR21" s="96"/>
      <c r="JS21" s="97"/>
      <c r="JT21" s="98"/>
      <c r="JU21" s="96"/>
      <c r="JV21" s="97"/>
      <c r="JW21" s="98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9"/>
      <c r="MZ21" s="95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7"/>
      <c r="NL21" s="98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9"/>
      <c r="QL21" s="95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7"/>
      <c r="RA21" s="98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9"/>
      <c r="TX21" s="95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7"/>
      <c r="UP21" s="98"/>
      <c r="UQ21" s="96"/>
      <c r="UR21" s="97"/>
      <c r="US21" s="98"/>
      <c r="UT21" s="96"/>
      <c r="UU21" s="97"/>
      <c r="UV21" s="98"/>
      <c r="UW21" s="96"/>
      <c r="UX21" s="97"/>
      <c r="UY21" s="98"/>
      <c r="UZ21" s="96"/>
      <c r="VA21" s="97"/>
      <c r="VB21" s="98"/>
      <c r="VC21" s="96"/>
      <c r="VD21" s="97"/>
      <c r="VE21" s="98"/>
      <c r="VF21" s="96"/>
      <c r="VG21" s="97"/>
      <c r="VH21" s="98"/>
      <c r="VI21" s="96"/>
      <c r="VJ21" s="97"/>
      <c r="VK21" s="98"/>
      <c r="VL21" s="96"/>
      <c r="VM21" s="97"/>
      <c r="VN21" s="98"/>
      <c r="VO21" s="96"/>
      <c r="VP21" s="97"/>
      <c r="VQ21" s="98"/>
      <c r="VR21" s="96"/>
      <c r="VS21" s="97"/>
      <c r="VT21" s="98"/>
      <c r="VU21" s="96"/>
      <c r="VV21" s="97"/>
      <c r="VW21" s="98"/>
      <c r="VX21" s="96"/>
      <c r="VY21" s="97"/>
      <c r="VZ21" s="98"/>
      <c r="WA21" s="96"/>
      <c r="WB21" s="97"/>
      <c r="WC21" s="98"/>
      <c r="WD21" s="96"/>
      <c r="WE21" s="97"/>
      <c r="WF21" s="98"/>
      <c r="WG21" s="96"/>
      <c r="WH21" s="97"/>
      <c r="WI21" s="98"/>
      <c r="WJ21" s="96"/>
      <c r="WK21" s="97"/>
      <c r="WL21" s="98"/>
      <c r="WM21" s="96"/>
      <c r="WN21" s="97"/>
      <c r="WO21" s="98"/>
      <c r="WP21" s="96"/>
      <c r="WQ21" s="97"/>
      <c r="WR21" s="98"/>
      <c r="WS21" s="96"/>
      <c r="WT21" s="97"/>
      <c r="WU21" s="98"/>
      <c r="WV21" s="96"/>
      <c r="WW21" s="97"/>
      <c r="WX21" s="98"/>
      <c r="WY21" s="96"/>
      <c r="WZ21" s="97"/>
      <c r="XA21" s="98"/>
      <c r="XB21" s="96"/>
      <c r="XC21" s="97"/>
      <c r="XD21" s="98"/>
      <c r="XE21" s="96"/>
      <c r="XF21" s="97"/>
      <c r="XG21" s="98"/>
      <c r="XH21" s="96"/>
      <c r="XI21" s="99"/>
      <c r="XJ21" s="95"/>
      <c r="XK21" s="96"/>
      <c r="XL21" s="97"/>
      <c r="XM21" s="98"/>
      <c r="XN21" s="96"/>
      <c r="XO21" s="97"/>
      <c r="XP21" s="98"/>
      <c r="XQ21" s="96"/>
      <c r="XR21" s="97"/>
      <c r="XS21" s="98"/>
      <c r="XT21" s="96"/>
      <c r="XU21" s="97"/>
      <c r="XV21" s="98"/>
      <c r="XW21" s="96"/>
      <c r="XX21" s="97"/>
      <c r="XY21" s="98"/>
      <c r="XZ21" s="96"/>
      <c r="YA21" s="97"/>
      <c r="YB21" s="98"/>
      <c r="YC21" s="96"/>
      <c r="YD21" s="97"/>
      <c r="YE21" s="98"/>
      <c r="YF21" s="96"/>
      <c r="YG21" s="97"/>
      <c r="YH21" s="98"/>
      <c r="YI21" s="96"/>
      <c r="YJ21" s="97"/>
      <c r="YK21" s="98"/>
      <c r="YL21" s="96"/>
      <c r="YM21" s="97"/>
      <c r="YN21" s="98"/>
      <c r="YO21" s="96"/>
      <c r="YP21" s="97"/>
      <c r="YQ21" s="98"/>
      <c r="YR21" s="96"/>
      <c r="YS21" s="97"/>
      <c r="YT21" s="98"/>
      <c r="YU21" s="96"/>
      <c r="YV21" s="97"/>
      <c r="YW21" s="98"/>
      <c r="YX21" s="96"/>
      <c r="YY21" s="97"/>
      <c r="YZ21" s="98"/>
      <c r="ZA21" s="96"/>
      <c r="ZB21" s="97"/>
      <c r="ZC21" s="98"/>
      <c r="ZD21" s="96"/>
      <c r="ZE21" s="97"/>
      <c r="ZF21" s="98"/>
      <c r="ZG21" s="96"/>
      <c r="ZH21" s="97"/>
      <c r="ZI21" s="98"/>
      <c r="ZJ21" s="96"/>
      <c r="ZK21" s="97"/>
      <c r="ZL21" s="98"/>
      <c r="ZM21" s="96"/>
      <c r="ZN21" s="97"/>
      <c r="ZO21" s="98"/>
      <c r="ZP21" s="96"/>
      <c r="ZQ21" s="97"/>
      <c r="ZR21" s="98"/>
      <c r="ZS21" s="96"/>
      <c r="ZT21" s="97"/>
      <c r="ZU21" s="98"/>
      <c r="ZV21" s="96"/>
      <c r="ZW21" s="97"/>
      <c r="ZX21" s="98"/>
      <c r="ZY21" s="96"/>
      <c r="ZZ21" s="97"/>
      <c r="AAA21" s="98"/>
      <c r="AAB21" s="96"/>
      <c r="AAC21" s="97"/>
      <c r="AAD21" s="98"/>
      <c r="AAE21" s="96"/>
      <c r="AAF21" s="97"/>
      <c r="AAG21" s="98"/>
      <c r="AAH21" s="96"/>
      <c r="AAI21" s="97"/>
      <c r="AAJ21" s="98"/>
      <c r="AAK21" s="96"/>
      <c r="AAL21" s="97"/>
      <c r="AAM21" s="98"/>
      <c r="AAN21" s="96"/>
      <c r="AAO21" s="97"/>
      <c r="AAP21" s="98"/>
      <c r="AAQ21" s="96"/>
      <c r="AAR21" s="97"/>
      <c r="AAS21" s="98"/>
      <c r="AAT21" s="96"/>
      <c r="AAU21" s="99"/>
      <c r="AAV21" s="95"/>
      <c r="AAW21" s="96"/>
      <c r="AAX21" s="97"/>
      <c r="AAY21" s="98"/>
      <c r="AAZ21" s="96"/>
      <c r="ABA21" s="97"/>
      <c r="ABB21" s="98"/>
      <c r="ABC21" s="96"/>
      <c r="ABD21" s="97"/>
      <c r="ABE21" s="98"/>
      <c r="ABF21" s="96"/>
      <c r="ABG21" s="97"/>
      <c r="ABH21" s="98"/>
      <c r="ABI21" s="96"/>
      <c r="ABJ21" s="97"/>
      <c r="ABK21" s="98"/>
      <c r="ABL21" s="96"/>
      <c r="ABM21" s="97"/>
      <c r="ABN21" s="98"/>
      <c r="ABO21" s="96"/>
      <c r="ABP21" s="97"/>
      <c r="ABQ21" s="98"/>
      <c r="ABR21" s="96"/>
      <c r="ABS21" s="97"/>
      <c r="ABT21" s="98"/>
      <c r="ABU21" s="96"/>
      <c r="ABV21" s="97"/>
      <c r="ABW21" s="98"/>
      <c r="ABX21" s="96"/>
      <c r="ABY21" s="97"/>
      <c r="ABZ21" s="98"/>
      <c r="ACA21" s="96"/>
      <c r="ACB21" s="97"/>
      <c r="ACC21" s="98"/>
      <c r="ACD21" s="96"/>
      <c r="ACE21" s="97"/>
      <c r="ACF21" s="98"/>
      <c r="ACG21" s="96"/>
      <c r="ACH21" s="97"/>
      <c r="ACI21" s="98"/>
      <c r="ACJ21" s="96"/>
      <c r="ACK21" s="97"/>
      <c r="ACL21" s="98"/>
      <c r="ACM21" s="96"/>
      <c r="ACN21" s="97"/>
      <c r="ACO21" s="98"/>
      <c r="ACP21" s="96"/>
      <c r="ACQ21" s="97"/>
      <c r="ACR21" s="98"/>
      <c r="ACS21" s="96"/>
      <c r="ACT21" s="97"/>
      <c r="ACU21" s="98"/>
      <c r="ACV21" s="96"/>
      <c r="ACW21" s="97"/>
      <c r="ACX21" s="98"/>
      <c r="ACY21" s="96"/>
      <c r="ACZ21" s="97"/>
      <c r="ADA21" s="98"/>
      <c r="ADB21" s="96"/>
      <c r="ADC21" s="97"/>
      <c r="ADD21" s="98"/>
      <c r="ADE21" s="96"/>
      <c r="ADF21" s="97"/>
      <c r="ADG21" s="98"/>
      <c r="ADH21" s="96"/>
      <c r="ADI21" s="97"/>
      <c r="ADJ21" s="98"/>
      <c r="ADK21" s="96"/>
      <c r="ADL21" s="97"/>
      <c r="ADM21" s="98"/>
      <c r="ADN21" s="96"/>
      <c r="ADO21" s="97"/>
      <c r="ADP21" s="98"/>
      <c r="ADQ21" s="96"/>
      <c r="ADR21" s="97"/>
      <c r="ADS21" s="98"/>
      <c r="ADT21" s="96"/>
      <c r="ADU21" s="97"/>
      <c r="ADV21" s="98"/>
      <c r="ADW21" s="96"/>
      <c r="ADX21" s="97"/>
      <c r="ADY21" s="98"/>
      <c r="ADZ21" s="96"/>
      <c r="AEA21" s="97"/>
      <c r="AEB21" s="98"/>
      <c r="AEC21" s="96"/>
      <c r="AED21" s="97"/>
      <c r="AEE21" s="98"/>
      <c r="AEF21" s="96"/>
      <c r="AEG21" s="99"/>
    </row>
    <row r="22" spans="2:813" ht="19.5" customHeight="1" thickBot="1" x14ac:dyDescent="0.3">
      <c r="B22" s="191"/>
      <c r="C22" s="107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5"/>
      <c r="CP22" s="101"/>
      <c r="CQ22" s="102"/>
      <c r="CR22" s="103"/>
      <c r="CS22" s="104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03"/>
      <c r="DW22" s="104"/>
      <c r="DX22" s="102"/>
      <c r="DY22" s="103"/>
      <c r="DZ22" s="104"/>
      <c r="EA22" s="102"/>
      <c r="EB22" s="103"/>
      <c r="EC22" s="104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5"/>
      <c r="GB22" s="101"/>
      <c r="GC22" s="102"/>
      <c r="GD22" s="103"/>
      <c r="GE22" s="104"/>
      <c r="GF22" s="102"/>
      <c r="GG22" s="103"/>
      <c r="GH22" s="104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5"/>
      <c r="JN22" s="101"/>
      <c r="JO22" s="102"/>
      <c r="JP22" s="103"/>
      <c r="JQ22" s="104"/>
      <c r="JR22" s="102"/>
      <c r="JS22" s="103"/>
      <c r="JT22" s="104"/>
      <c r="JU22" s="102"/>
      <c r="JV22" s="103"/>
      <c r="JW22" s="104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5"/>
      <c r="MZ22" s="101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3"/>
      <c r="NL22" s="104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5"/>
      <c r="QL22" s="101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3"/>
      <c r="RA22" s="104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5"/>
      <c r="TX22" s="101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3"/>
      <c r="UP22" s="104"/>
      <c r="UQ22" s="102"/>
      <c r="UR22" s="103"/>
      <c r="US22" s="104"/>
      <c r="UT22" s="102"/>
      <c r="UU22" s="103"/>
      <c r="UV22" s="104"/>
      <c r="UW22" s="102"/>
      <c r="UX22" s="103"/>
      <c r="UY22" s="104"/>
      <c r="UZ22" s="102"/>
      <c r="VA22" s="103"/>
      <c r="VB22" s="104"/>
      <c r="VC22" s="102"/>
      <c r="VD22" s="103"/>
      <c r="VE22" s="104"/>
      <c r="VF22" s="102"/>
      <c r="VG22" s="103"/>
      <c r="VH22" s="104"/>
      <c r="VI22" s="102"/>
      <c r="VJ22" s="103"/>
      <c r="VK22" s="104"/>
      <c r="VL22" s="102"/>
      <c r="VM22" s="103"/>
      <c r="VN22" s="104"/>
      <c r="VO22" s="102"/>
      <c r="VP22" s="103"/>
      <c r="VQ22" s="104"/>
      <c r="VR22" s="102"/>
      <c r="VS22" s="103"/>
      <c r="VT22" s="104"/>
      <c r="VU22" s="102"/>
      <c r="VV22" s="103"/>
      <c r="VW22" s="104"/>
      <c r="VX22" s="102"/>
      <c r="VY22" s="103"/>
      <c r="VZ22" s="104"/>
      <c r="WA22" s="102"/>
      <c r="WB22" s="103"/>
      <c r="WC22" s="104"/>
      <c r="WD22" s="102"/>
      <c r="WE22" s="103"/>
      <c r="WF22" s="104"/>
      <c r="WG22" s="102"/>
      <c r="WH22" s="103"/>
      <c r="WI22" s="104"/>
      <c r="WJ22" s="102"/>
      <c r="WK22" s="103"/>
      <c r="WL22" s="104"/>
      <c r="WM22" s="102"/>
      <c r="WN22" s="103"/>
      <c r="WO22" s="104"/>
      <c r="WP22" s="102"/>
      <c r="WQ22" s="103"/>
      <c r="WR22" s="104"/>
      <c r="WS22" s="102"/>
      <c r="WT22" s="103"/>
      <c r="WU22" s="104"/>
      <c r="WV22" s="102"/>
      <c r="WW22" s="103"/>
      <c r="WX22" s="104"/>
      <c r="WY22" s="102"/>
      <c r="WZ22" s="103"/>
      <c r="XA22" s="104"/>
      <c r="XB22" s="102"/>
      <c r="XC22" s="103"/>
      <c r="XD22" s="104"/>
      <c r="XE22" s="102"/>
      <c r="XF22" s="103"/>
      <c r="XG22" s="104"/>
      <c r="XH22" s="102"/>
      <c r="XI22" s="105"/>
      <c r="XJ22" s="101"/>
      <c r="XK22" s="102"/>
      <c r="XL22" s="103"/>
      <c r="XM22" s="104"/>
      <c r="XN22" s="102"/>
      <c r="XO22" s="103"/>
      <c r="XP22" s="104"/>
      <c r="XQ22" s="102"/>
      <c r="XR22" s="103"/>
      <c r="XS22" s="104"/>
      <c r="XT22" s="102"/>
      <c r="XU22" s="103"/>
      <c r="XV22" s="104"/>
      <c r="XW22" s="102"/>
      <c r="XX22" s="103"/>
      <c r="XY22" s="104"/>
      <c r="XZ22" s="102"/>
      <c r="YA22" s="103"/>
      <c r="YB22" s="104"/>
      <c r="YC22" s="102"/>
      <c r="YD22" s="103"/>
      <c r="YE22" s="104"/>
      <c r="YF22" s="102"/>
      <c r="YG22" s="103"/>
      <c r="YH22" s="104"/>
      <c r="YI22" s="102"/>
      <c r="YJ22" s="103"/>
      <c r="YK22" s="104"/>
      <c r="YL22" s="102"/>
      <c r="YM22" s="103"/>
      <c r="YN22" s="104"/>
      <c r="YO22" s="102"/>
      <c r="YP22" s="103"/>
      <c r="YQ22" s="104"/>
      <c r="YR22" s="102"/>
      <c r="YS22" s="103"/>
      <c r="YT22" s="104"/>
      <c r="YU22" s="102"/>
      <c r="YV22" s="103"/>
      <c r="YW22" s="104"/>
      <c r="YX22" s="102"/>
      <c r="YY22" s="103"/>
      <c r="YZ22" s="104"/>
      <c r="ZA22" s="102"/>
      <c r="ZB22" s="103"/>
      <c r="ZC22" s="104"/>
      <c r="ZD22" s="102"/>
      <c r="ZE22" s="103"/>
      <c r="ZF22" s="104"/>
      <c r="ZG22" s="102"/>
      <c r="ZH22" s="103"/>
      <c r="ZI22" s="104"/>
      <c r="ZJ22" s="102"/>
      <c r="ZK22" s="103"/>
      <c r="ZL22" s="104"/>
      <c r="ZM22" s="102"/>
      <c r="ZN22" s="103"/>
      <c r="ZO22" s="104"/>
      <c r="ZP22" s="102"/>
      <c r="ZQ22" s="103"/>
      <c r="ZR22" s="104"/>
      <c r="ZS22" s="102"/>
      <c r="ZT22" s="103"/>
      <c r="ZU22" s="104"/>
      <c r="ZV22" s="102"/>
      <c r="ZW22" s="103"/>
      <c r="ZX22" s="104"/>
      <c r="ZY22" s="102"/>
      <c r="ZZ22" s="103"/>
      <c r="AAA22" s="104"/>
      <c r="AAB22" s="102"/>
      <c r="AAC22" s="103"/>
      <c r="AAD22" s="104"/>
      <c r="AAE22" s="102"/>
      <c r="AAF22" s="103"/>
      <c r="AAG22" s="104"/>
      <c r="AAH22" s="102"/>
      <c r="AAI22" s="103"/>
      <c r="AAJ22" s="104"/>
      <c r="AAK22" s="102"/>
      <c r="AAL22" s="103"/>
      <c r="AAM22" s="104"/>
      <c r="AAN22" s="102"/>
      <c r="AAO22" s="103"/>
      <c r="AAP22" s="104"/>
      <c r="AAQ22" s="102"/>
      <c r="AAR22" s="103"/>
      <c r="AAS22" s="104"/>
      <c r="AAT22" s="102"/>
      <c r="AAU22" s="105"/>
      <c r="AAV22" s="101"/>
      <c r="AAW22" s="102"/>
      <c r="AAX22" s="103"/>
      <c r="AAY22" s="104"/>
      <c r="AAZ22" s="102"/>
      <c r="ABA22" s="103"/>
      <c r="ABB22" s="104"/>
      <c r="ABC22" s="102"/>
      <c r="ABD22" s="103"/>
      <c r="ABE22" s="104"/>
      <c r="ABF22" s="102"/>
      <c r="ABG22" s="103"/>
      <c r="ABH22" s="104"/>
      <c r="ABI22" s="102"/>
      <c r="ABJ22" s="103"/>
      <c r="ABK22" s="104"/>
      <c r="ABL22" s="102"/>
      <c r="ABM22" s="103"/>
      <c r="ABN22" s="104"/>
      <c r="ABO22" s="102"/>
      <c r="ABP22" s="103"/>
      <c r="ABQ22" s="104"/>
      <c r="ABR22" s="102"/>
      <c r="ABS22" s="103"/>
      <c r="ABT22" s="104"/>
      <c r="ABU22" s="102"/>
      <c r="ABV22" s="103"/>
      <c r="ABW22" s="104"/>
      <c r="ABX22" s="102"/>
      <c r="ABY22" s="103"/>
      <c r="ABZ22" s="104"/>
      <c r="ACA22" s="102"/>
      <c r="ACB22" s="103"/>
      <c r="ACC22" s="104"/>
      <c r="ACD22" s="102"/>
      <c r="ACE22" s="103"/>
      <c r="ACF22" s="104"/>
      <c r="ACG22" s="102"/>
      <c r="ACH22" s="103"/>
      <c r="ACI22" s="104"/>
      <c r="ACJ22" s="102"/>
      <c r="ACK22" s="103"/>
      <c r="ACL22" s="104"/>
      <c r="ACM22" s="102"/>
      <c r="ACN22" s="103"/>
      <c r="ACO22" s="104"/>
      <c r="ACP22" s="102"/>
      <c r="ACQ22" s="103"/>
      <c r="ACR22" s="104"/>
      <c r="ACS22" s="102"/>
      <c r="ACT22" s="103"/>
      <c r="ACU22" s="104"/>
      <c r="ACV22" s="102"/>
      <c r="ACW22" s="103"/>
      <c r="ACX22" s="104"/>
      <c r="ACY22" s="102"/>
      <c r="ACZ22" s="103"/>
      <c r="ADA22" s="104"/>
      <c r="ADB22" s="102"/>
      <c r="ADC22" s="103"/>
      <c r="ADD22" s="104"/>
      <c r="ADE22" s="102"/>
      <c r="ADF22" s="103"/>
      <c r="ADG22" s="104"/>
      <c r="ADH22" s="102"/>
      <c r="ADI22" s="103"/>
      <c r="ADJ22" s="104"/>
      <c r="ADK22" s="102"/>
      <c r="ADL22" s="103"/>
      <c r="ADM22" s="104"/>
      <c r="ADN22" s="102"/>
      <c r="ADO22" s="103"/>
      <c r="ADP22" s="104"/>
      <c r="ADQ22" s="102"/>
      <c r="ADR22" s="103"/>
      <c r="ADS22" s="104"/>
      <c r="ADT22" s="102"/>
      <c r="ADU22" s="103"/>
      <c r="ADV22" s="104"/>
      <c r="ADW22" s="102"/>
      <c r="ADX22" s="103"/>
      <c r="ADY22" s="104"/>
      <c r="ADZ22" s="102"/>
      <c r="AEA22" s="103"/>
      <c r="AEB22" s="104"/>
      <c r="AEC22" s="102"/>
      <c r="AED22" s="103"/>
      <c r="AEE22" s="104"/>
      <c r="AEF22" s="102"/>
      <c r="AEG22" s="105"/>
    </row>
    <row r="23" spans="2:813" ht="19.5" customHeight="1" x14ac:dyDescent="0.25">
      <c r="B23" s="190" t="str">
        <f>Donnees!$C$30</f>
        <v>REALISER : Page de login</v>
      </c>
      <c r="C23" s="106">
        <v>8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9"/>
      <c r="CP23" s="95"/>
      <c r="CQ23" s="96"/>
      <c r="CR23" s="97"/>
      <c r="CS23" s="98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7"/>
      <c r="FD23" s="98"/>
      <c r="FE23" s="96"/>
      <c r="FF23" s="97"/>
      <c r="FG23" s="98"/>
      <c r="FH23" s="96"/>
      <c r="FI23" s="97"/>
      <c r="FJ23" s="98"/>
      <c r="FK23" s="96"/>
      <c r="FL23" s="97"/>
      <c r="FM23" s="98"/>
      <c r="FN23" s="96"/>
      <c r="FO23" s="97"/>
      <c r="FP23" s="98"/>
      <c r="FQ23" s="96"/>
      <c r="FR23" s="97"/>
      <c r="FS23" s="98"/>
      <c r="FT23" s="153"/>
      <c r="FU23" s="154"/>
      <c r="FV23" s="155"/>
      <c r="FW23" s="153"/>
      <c r="FX23" s="154"/>
      <c r="FY23" s="155"/>
      <c r="FZ23" s="153"/>
      <c r="GA23" s="187"/>
      <c r="GB23" s="95"/>
      <c r="GC23" s="96"/>
      <c r="GD23" s="97"/>
      <c r="GE23" s="98"/>
      <c r="GF23" s="96"/>
      <c r="GG23" s="97"/>
      <c r="GH23" s="98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9"/>
      <c r="JN23" s="95"/>
      <c r="JO23" s="96"/>
      <c r="JP23" s="97"/>
      <c r="JQ23" s="98"/>
      <c r="JR23" s="96"/>
      <c r="JS23" s="97"/>
      <c r="JT23" s="98"/>
      <c r="JU23" s="96"/>
      <c r="JV23" s="97"/>
      <c r="JW23" s="98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9"/>
      <c r="MZ23" s="95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7"/>
      <c r="NL23" s="98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9"/>
      <c r="QL23" s="95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7"/>
      <c r="RA23" s="98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9"/>
      <c r="TX23" s="95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7"/>
      <c r="UP23" s="98"/>
      <c r="UQ23" s="96"/>
      <c r="UR23" s="97"/>
      <c r="US23" s="98"/>
      <c r="UT23" s="96"/>
      <c r="UU23" s="97"/>
      <c r="UV23" s="98"/>
      <c r="UW23" s="96"/>
      <c r="UX23" s="97"/>
      <c r="UY23" s="98"/>
      <c r="UZ23" s="96"/>
      <c r="VA23" s="97"/>
      <c r="VB23" s="98"/>
      <c r="VC23" s="96"/>
      <c r="VD23" s="97"/>
      <c r="VE23" s="98"/>
      <c r="VF23" s="96"/>
      <c r="VG23" s="97"/>
      <c r="VH23" s="98"/>
      <c r="VI23" s="96"/>
      <c r="VJ23" s="97"/>
      <c r="VK23" s="98"/>
      <c r="VL23" s="96"/>
      <c r="VM23" s="97"/>
      <c r="VN23" s="98"/>
      <c r="VO23" s="96"/>
      <c r="VP23" s="97"/>
      <c r="VQ23" s="98"/>
      <c r="VR23" s="96"/>
      <c r="VS23" s="97"/>
      <c r="VT23" s="98"/>
      <c r="VU23" s="96"/>
      <c r="VV23" s="97"/>
      <c r="VW23" s="98"/>
      <c r="VX23" s="96"/>
      <c r="VY23" s="97"/>
      <c r="VZ23" s="98"/>
      <c r="WA23" s="96"/>
      <c r="WB23" s="97"/>
      <c r="WC23" s="98"/>
      <c r="WD23" s="96"/>
      <c r="WE23" s="97"/>
      <c r="WF23" s="98"/>
      <c r="WG23" s="96"/>
      <c r="WH23" s="97"/>
      <c r="WI23" s="98"/>
      <c r="WJ23" s="96"/>
      <c r="WK23" s="97"/>
      <c r="WL23" s="98"/>
      <c r="WM23" s="96"/>
      <c r="WN23" s="97"/>
      <c r="WO23" s="98"/>
      <c r="WP23" s="96"/>
      <c r="WQ23" s="97"/>
      <c r="WR23" s="98"/>
      <c r="WS23" s="96"/>
      <c r="WT23" s="97"/>
      <c r="WU23" s="98"/>
      <c r="WV23" s="96"/>
      <c r="WW23" s="97"/>
      <c r="WX23" s="98"/>
      <c r="WY23" s="96"/>
      <c r="WZ23" s="97"/>
      <c r="XA23" s="98"/>
      <c r="XB23" s="96"/>
      <c r="XC23" s="97"/>
      <c r="XD23" s="98"/>
      <c r="XE23" s="96"/>
      <c r="XF23" s="97"/>
      <c r="XG23" s="98"/>
      <c r="XH23" s="96"/>
      <c r="XI23" s="99"/>
      <c r="XJ23" s="95"/>
      <c r="XK23" s="96"/>
      <c r="XL23" s="97"/>
      <c r="XM23" s="98"/>
      <c r="XN23" s="96"/>
      <c r="XO23" s="97"/>
      <c r="XP23" s="98"/>
      <c r="XQ23" s="96"/>
      <c r="XR23" s="97"/>
      <c r="XS23" s="98"/>
      <c r="XT23" s="96"/>
      <c r="XU23" s="97"/>
      <c r="XV23" s="98"/>
      <c r="XW23" s="96"/>
      <c r="XX23" s="97"/>
      <c r="XY23" s="98"/>
      <c r="XZ23" s="96"/>
      <c r="YA23" s="97"/>
      <c r="YB23" s="98"/>
      <c r="YC23" s="96"/>
      <c r="YD23" s="97"/>
      <c r="YE23" s="98"/>
      <c r="YF23" s="96"/>
      <c r="YG23" s="97"/>
      <c r="YH23" s="98"/>
      <c r="YI23" s="96"/>
      <c r="YJ23" s="97"/>
      <c r="YK23" s="98"/>
      <c r="YL23" s="96"/>
      <c r="YM23" s="97"/>
      <c r="YN23" s="98"/>
      <c r="YO23" s="96"/>
      <c r="YP23" s="97"/>
      <c r="YQ23" s="98"/>
      <c r="YR23" s="96"/>
      <c r="YS23" s="97"/>
      <c r="YT23" s="98"/>
      <c r="YU23" s="96"/>
      <c r="YV23" s="97"/>
      <c r="YW23" s="98"/>
      <c r="YX23" s="96"/>
      <c r="YY23" s="97"/>
      <c r="YZ23" s="98"/>
      <c r="ZA23" s="96"/>
      <c r="ZB23" s="97"/>
      <c r="ZC23" s="98"/>
      <c r="ZD23" s="96"/>
      <c r="ZE23" s="97"/>
      <c r="ZF23" s="98"/>
      <c r="ZG23" s="96"/>
      <c r="ZH23" s="97"/>
      <c r="ZI23" s="98"/>
      <c r="ZJ23" s="96"/>
      <c r="ZK23" s="97"/>
      <c r="ZL23" s="98"/>
      <c r="ZM23" s="96"/>
      <c r="ZN23" s="97"/>
      <c r="ZO23" s="98"/>
      <c r="ZP23" s="96"/>
      <c r="ZQ23" s="97"/>
      <c r="ZR23" s="98"/>
      <c r="ZS23" s="96"/>
      <c r="ZT23" s="97"/>
      <c r="ZU23" s="98"/>
      <c r="ZV23" s="96"/>
      <c r="ZW23" s="97"/>
      <c r="ZX23" s="98"/>
      <c r="ZY23" s="96"/>
      <c r="ZZ23" s="97"/>
      <c r="AAA23" s="98"/>
      <c r="AAB23" s="96"/>
      <c r="AAC23" s="97"/>
      <c r="AAD23" s="98"/>
      <c r="AAE23" s="96"/>
      <c r="AAF23" s="97"/>
      <c r="AAG23" s="98"/>
      <c r="AAH23" s="96"/>
      <c r="AAI23" s="97"/>
      <c r="AAJ23" s="98"/>
      <c r="AAK23" s="96"/>
      <c r="AAL23" s="97"/>
      <c r="AAM23" s="98"/>
      <c r="AAN23" s="96"/>
      <c r="AAO23" s="97"/>
      <c r="AAP23" s="98"/>
      <c r="AAQ23" s="96"/>
      <c r="AAR23" s="97"/>
      <c r="AAS23" s="98"/>
      <c r="AAT23" s="96"/>
      <c r="AAU23" s="99"/>
      <c r="AAV23" s="95"/>
      <c r="AAW23" s="96"/>
      <c r="AAX23" s="97"/>
      <c r="AAY23" s="98"/>
      <c r="AAZ23" s="96"/>
      <c r="ABA23" s="97"/>
      <c r="ABB23" s="98"/>
      <c r="ABC23" s="96"/>
      <c r="ABD23" s="97"/>
      <c r="ABE23" s="98"/>
      <c r="ABF23" s="96"/>
      <c r="ABG23" s="97"/>
      <c r="ABH23" s="98"/>
      <c r="ABI23" s="96"/>
      <c r="ABJ23" s="97"/>
      <c r="ABK23" s="98"/>
      <c r="ABL23" s="96"/>
      <c r="ABM23" s="97"/>
      <c r="ABN23" s="98"/>
      <c r="ABO23" s="96"/>
      <c r="ABP23" s="97"/>
      <c r="ABQ23" s="98"/>
      <c r="ABR23" s="96"/>
      <c r="ABS23" s="97"/>
      <c r="ABT23" s="98"/>
      <c r="ABU23" s="96"/>
      <c r="ABV23" s="97"/>
      <c r="ABW23" s="98"/>
      <c r="ABX23" s="96"/>
      <c r="ABY23" s="97"/>
      <c r="ABZ23" s="98"/>
      <c r="ACA23" s="96"/>
      <c r="ACB23" s="97"/>
      <c r="ACC23" s="98"/>
      <c r="ACD23" s="96"/>
      <c r="ACE23" s="97"/>
      <c r="ACF23" s="98"/>
      <c r="ACG23" s="96"/>
      <c r="ACH23" s="97"/>
      <c r="ACI23" s="98"/>
      <c r="ACJ23" s="96"/>
      <c r="ACK23" s="97"/>
      <c r="ACL23" s="98"/>
      <c r="ACM23" s="96"/>
      <c r="ACN23" s="97"/>
      <c r="ACO23" s="98"/>
      <c r="ACP23" s="96"/>
      <c r="ACQ23" s="97"/>
      <c r="ACR23" s="98"/>
      <c r="ACS23" s="96"/>
      <c r="ACT23" s="97"/>
      <c r="ACU23" s="98"/>
      <c r="ACV23" s="96"/>
      <c r="ACW23" s="97"/>
      <c r="ACX23" s="98"/>
      <c r="ACY23" s="96"/>
      <c r="ACZ23" s="97"/>
      <c r="ADA23" s="98"/>
      <c r="ADB23" s="96"/>
      <c r="ADC23" s="97"/>
      <c r="ADD23" s="98"/>
      <c r="ADE23" s="96"/>
      <c r="ADF23" s="97"/>
      <c r="ADG23" s="98"/>
      <c r="ADH23" s="96"/>
      <c r="ADI23" s="97"/>
      <c r="ADJ23" s="98"/>
      <c r="ADK23" s="96"/>
      <c r="ADL23" s="97"/>
      <c r="ADM23" s="98"/>
      <c r="ADN23" s="96"/>
      <c r="ADO23" s="97"/>
      <c r="ADP23" s="98"/>
      <c r="ADQ23" s="96"/>
      <c r="ADR23" s="97"/>
      <c r="ADS23" s="98"/>
      <c r="ADT23" s="96"/>
      <c r="ADU23" s="97"/>
      <c r="ADV23" s="98"/>
      <c r="ADW23" s="96"/>
      <c r="ADX23" s="97"/>
      <c r="ADY23" s="98"/>
      <c r="ADZ23" s="96"/>
      <c r="AEA23" s="97"/>
      <c r="AEB23" s="98"/>
      <c r="AEC23" s="96"/>
      <c r="AED23" s="97"/>
      <c r="AEE23" s="98"/>
      <c r="AEF23" s="96"/>
      <c r="AEG23" s="99"/>
    </row>
    <row r="24" spans="2:813" ht="19.5" customHeight="1" thickBot="1" x14ac:dyDescent="0.3">
      <c r="B24" s="191"/>
      <c r="C24" s="107">
        <v>0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5"/>
      <c r="CP24" s="101"/>
      <c r="CQ24" s="102"/>
      <c r="CR24" s="103"/>
      <c r="CS24" s="104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02"/>
      <c r="EE24" s="103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5"/>
      <c r="GB24" s="101"/>
      <c r="GC24" s="102"/>
      <c r="GD24" s="103"/>
      <c r="GE24" s="104"/>
      <c r="GF24" s="102"/>
      <c r="GG24" s="103"/>
      <c r="GH24" s="104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5"/>
      <c r="JN24" s="101"/>
      <c r="JO24" s="102"/>
      <c r="JP24" s="103"/>
      <c r="JQ24" s="104"/>
      <c r="JR24" s="102"/>
      <c r="JS24" s="103"/>
      <c r="JT24" s="104"/>
      <c r="JU24" s="102"/>
      <c r="JV24" s="103"/>
      <c r="JW24" s="104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5"/>
      <c r="MZ24" s="101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3"/>
      <c r="NL24" s="104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5"/>
      <c r="QL24" s="101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3"/>
      <c r="RA24" s="104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5"/>
      <c r="TX24" s="101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3"/>
      <c r="UP24" s="104"/>
      <c r="UQ24" s="102"/>
      <c r="UR24" s="103"/>
      <c r="US24" s="104"/>
      <c r="UT24" s="102"/>
      <c r="UU24" s="103"/>
      <c r="UV24" s="104"/>
      <c r="UW24" s="102"/>
      <c r="UX24" s="103"/>
      <c r="UY24" s="104"/>
      <c r="UZ24" s="102"/>
      <c r="VA24" s="103"/>
      <c r="VB24" s="104"/>
      <c r="VC24" s="102"/>
      <c r="VD24" s="103"/>
      <c r="VE24" s="104"/>
      <c r="VF24" s="102"/>
      <c r="VG24" s="103"/>
      <c r="VH24" s="104"/>
      <c r="VI24" s="102"/>
      <c r="VJ24" s="103"/>
      <c r="VK24" s="104"/>
      <c r="VL24" s="102"/>
      <c r="VM24" s="103"/>
      <c r="VN24" s="104"/>
      <c r="VO24" s="102"/>
      <c r="VP24" s="103"/>
      <c r="VQ24" s="104"/>
      <c r="VR24" s="102"/>
      <c r="VS24" s="103"/>
      <c r="VT24" s="104"/>
      <c r="VU24" s="102"/>
      <c r="VV24" s="103"/>
      <c r="VW24" s="104"/>
      <c r="VX24" s="102"/>
      <c r="VY24" s="103"/>
      <c r="VZ24" s="104"/>
      <c r="WA24" s="102"/>
      <c r="WB24" s="103"/>
      <c r="WC24" s="104"/>
      <c r="WD24" s="102"/>
      <c r="WE24" s="103"/>
      <c r="WF24" s="104"/>
      <c r="WG24" s="102"/>
      <c r="WH24" s="103"/>
      <c r="WI24" s="104"/>
      <c r="WJ24" s="102"/>
      <c r="WK24" s="103"/>
      <c r="WL24" s="104"/>
      <c r="WM24" s="102"/>
      <c r="WN24" s="103"/>
      <c r="WO24" s="104"/>
      <c r="WP24" s="102"/>
      <c r="WQ24" s="103"/>
      <c r="WR24" s="104"/>
      <c r="WS24" s="102"/>
      <c r="WT24" s="103"/>
      <c r="WU24" s="104"/>
      <c r="WV24" s="102"/>
      <c r="WW24" s="103"/>
      <c r="WX24" s="104"/>
      <c r="WY24" s="102"/>
      <c r="WZ24" s="103"/>
      <c r="XA24" s="104"/>
      <c r="XB24" s="102"/>
      <c r="XC24" s="103"/>
      <c r="XD24" s="104"/>
      <c r="XE24" s="102"/>
      <c r="XF24" s="103"/>
      <c r="XG24" s="104"/>
      <c r="XH24" s="102"/>
      <c r="XI24" s="105"/>
      <c r="XJ24" s="101"/>
      <c r="XK24" s="102"/>
      <c r="XL24" s="103"/>
      <c r="XM24" s="104"/>
      <c r="XN24" s="102"/>
      <c r="XO24" s="103"/>
      <c r="XP24" s="104"/>
      <c r="XQ24" s="102"/>
      <c r="XR24" s="103"/>
      <c r="XS24" s="104"/>
      <c r="XT24" s="102"/>
      <c r="XU24" s="103"/>
      <c r="XV24" s="104"/>
      <c r="XW24" s="102"/>
      <c r="XX24" s="103"/>
      <c r="XY24" s="104"/>
      <c r="XZ24" s="102"/>
      <c r="YA24" s="103"/>
      <c r="YB24" s="104"/>
      <c r="YC24" s="102"/>
      <c r="YD24" s="103"/>
      <c r="YE24" s="104"/>
      <c r="YF24" s="102"/>
      <c r="YG24" s="103"/>
      <c r="YH24" s="104"/>
      <c r="YI24" s="102"/>
      <c r="YJ24" s="103"/>
      <c r="YK24" s="104"/>
      <c r="YL24" s="102"/>
      <c r="YM24" s="103"/>
      <c r="YN24" s="104"/>
      <c r="YO24" s="102"/>
      <c r="YP24" s="103"/>
      <c r="YQ24" s="104"/>
      <c r="YR24" s="102"/>
      <c r="YS24" s="103"/>
      <c r="YT24" s="104"/>
      <c r="YU24" s="102"/>
      <c r="YV24" s="103"/>
      <c r="YW24" s="104"/>
      <c r="YX24" s="102"/>
      <c r="YY24" s="103"/>
      <c r="YZ24" s="104"/>
      <c r="ZA24" s="102"/>
      <c r="ZB24" s="103"/>
      <c r="ZC24" s="104"/>
      <c r="ZD24" s="102"/>
      <c r="ZE24" s="103"/>
      <c r="ZF24" s="104"/>
      <c r="ZG24" s="102"/>
      <c r="ZH24" s="103"/>
      <c r="ZI24" s="104"/>
      <c r="ZJ24" s="102"/>
      <c r="ZK24" s="103"/>
      <c r="ZL24" s="104"/>
      <c r="ZM24" s="102"/>
      <c r="ZN24" s="103"/>
      <c r="ZO24" s="104"/>
      <c r="ZP24" s="102"/>
      <c r="ZQ24" s="103"/>
      <c r="ZR24" s="104"/>
      <c r="ZS24" s="102"/>
      <c r="ZT24" s="103"/>
      <c r="ZU24" s="104"/>
      <c r="ZV24" s="102"/>
      <c r="ZW24" s="103"/>
      <c r="ZX24" s="104"/>
      <c r="ZY24" s="102"/>
      <c r="ZZ24" s="103"/>
      <c r="AAA24" s="104"/>
      <c r="AAB24" s="102"/>
      <c r="AAC24" s="103"/>
      <c r="AAD24" s="104"/>
      <c r="AAE24" s="102"/>
      <c r="AAF24" s="103"/>
      <c r="AAG24" s="104"/>
      <c r="AAH24" s="102"/>
      <c r="AAI24" s="103"/>
      <c r="AAJ24" s="104"/>
      <c r="AAK24" s="102"/>
      <c r="AAL24" s="103"/>
      <c r="AAM24" s="104"/>
      <c r="AAN24" s="102"/>
      <c r="AAO24" s="103"/>
      <c r="AAP24" s="104"/>
      <c r="AAQ24" s="102"/>
      <c r="AAR24" s="103"/>
      <c r="AAS24" s="104"/>
      <c r="AAT24" s="102"/>
      <c r="AAU24" s="105"/>
      <c r="AAV24" s="101"/>
      <c r="AAW24" s="102"/>
      <c r="AAX24" s="103"/>
      <c r="AAY24" s="104"/>
      <c r="AAZ24" s="102"/>
      <c r="ABA24" s="103"/>
      <c r="ABB24" s="104"/>
      <c r="ABC24" s="102"/>
      <c r="ABD24" s="103"/>
      <c r="ABE24" s="104"/>
      <c r="ABF24" s="102"/>
      <c r="ABG24" s="103"/>
      <c r="ABH24" s="104"/>
      <c r="ABI24" s="102"/>
      <c r="ABJ24" s="103"/>
      <c r="ABK24" s="104"/>
      <c r="ABL24" s="102"/>
      <c r="ABM24" s="103"/>
      <c r="ABN24" s="104"/>
      <c r="ABO24" s="102"/>
      <c r="ABP24" s="103"/>
      <c r="ABQ24" s="104"/>
      <c r="ABR24" s="102"/>
      <c r="ABS24" s="103"/>
      <c r="ABT24" s="104"/>
      <c r="ABU24" s="102"/>
      <c r="ABV24" s="103"/>
      <c r="ABW24" s="104"/>
      <c r="ABX24" s="102"/>
      <c r="ABY24" s="103"/>
      <c r="ABZ24" s="104"/>
      <c r="ACA24" s="102"/>
      <c r="ACB24" s="103"/>
      <c r="ACC24" s="104"/>
      <c r="ACD24" s="102"/>
      <c r="ACE24" s="103"/>
      <c r="ACF24" s="104"/>
      <c r="ACG24" s="102"/>
      <c r="ACH24" s="103"/>
      <c r="ACI24" s="104"/>
      <c r="ACJ24" s="102"/>
      <c r="ACK24" s="103"/>
      <c r="ACL24" s="104"/>
      <c r="ACM24" s="102"/>
      <c r="ACN24" s="103"/>
      <c r="ACO24" s="104"/>
      <c r="ACP24" s="102"/>
      <c r="ACQ24" s="103"/>
      <c r="ACR24" s="104"/>
      <c r="ACS24" s="102"/>
      <c r="ACT24" s="103"/>
      <c r="ACU24" s="104"/>
      <c r="ACV24" s="102"/>
      <c r="ACW24" s="103"/>
      <c r="ACX24" s="104"/>
      <c r="ACY24" s="102"/>
      <c r="ACZ24" s="103"/>
      <c r="ADA24" s="104"/>
      <c r="ADB24" s="102"/>
      <c r="ADC24" s="103"/>
      <c r="ADD24" s="104"/>
      <c r="ADE24" s="102"/>
      <c r="ADF24" s="103"/>
      <c r="ADG24" s="104"/>
      <c r="ADH24" s="102"/>
      <c r="ADI24" s="103"/>
      <c r="ADJ24" s="104"/>
      <c r="ADK24" s="102"/>
      <c r="ADL24" s="103"/>
      <c r="ADM24" s="104"/>
      <c r="ADN24" s="102"/>
      <c r="ADO24" s="103"/>
      <c r="ADP24" s="104"/>
      <c r="ADQ24" s="102"/>
      <c r="ADR24" s="103"/>
      <c r="ADS24" s="104"/>
      <c r="ADT24" s="102"/>
      <c r="ADU24" s="103"/>
      <c r="ADV24" s="104"/>
      <c r="ADW24" s="102"/>
      <c r="ADX24" s="103"/>
      <c r="ADY24" s="104"/>
      <c r="ADZ24" s="102"/>
      <c r="AEA24" s="103"/>
      <c r="AEB24" s="104"/>
      <c r="AEC24" s="102"/>
      <c r="AED24" s="103"/>
      <c r="AEE24" s="104"/>
      <c r="AEF24" s="102"/>
      <c r="AEG24" s="105"/>
    </row>
    <row r="25" spans="2:813" ht="19.5" customHeight="1" x14ac:dyDescent="0.25">
      <c r="B25" s="190" t="str">
        <f>Donnees!$C$31</f>
        <v>REALISER : Recherche multicritères</v>
      </c>
      <c r="C25" s="106">
        <v>24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9"/>
      <c r="CP25" s="95"/>
      <c r="CQ25" s="96"/>
      <c r="CR25" s="97"/>
      <c r="CS25" s="98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9"/>
      <c r="GB25" s="95"/>
      <c r="GC25" s="96"/>
      <c r="GD25" s="97"/>
      <c r="GE25" s="98"/>
      <c r="GF25" s="96"/>
      <c r="GG25" s="97"/>
      <c r="GH25" s="98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154"/>
      <c r="GT25" s="155"/>
      <c r="GU25" s="153"/>
      <c r="GV25" s="154"/>
      <c r="GW25" s="155"/>
      <c r="GX25" s="153"/>
      <c r="GY25" s="154"/>
      <c r="GZ25" s="98"/>
      <c r="HA25" s="96"/>
      <c r="HB25" s="97"/>
      <c r="HC25" s="98"/>
      <c r="HD25" s="96"/>
      <c r="HE25" s="154"/>
      <c r="HF25" s="155"/>
      <c r="HG25" s="153"/>
      <c r="HH25" s="154"/>
      <c r="HI25" s="155"/>
      <c r="HJ25" s="153"/>
      <c r="HK25" s="154"/>
      <c r="HL25" s="155"/>
      <c r="HM25" s="153"/>
      <c r="HN25" s="154"/>
      <c r="HO25" s="155"/>
      <c r="HP25" s="153"/>
      <c r="HQ25" s="154"/>
      <c r="HR25" s="155"/>
      <c r="HS25" s="153"/>
      <c r="HT25" s="154"/>
      <c r="HU25" s="155"/>
      <c r="HV25" s="96"/>
      <c r="HW25" s="97"/>
      <c r="HX25" s="98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9"/>
      <c r="JN25" s="95"/>
      <c r="JO25" s="96"/>
      <c r="JP25" s="97"/>
      <c r="JQ25" s="98"/>
      <c r="JR25" s="96"/>
      <c r="JS25" s="97"/>
      <c r="JT25" s="98"/>
      <c r="JU25" s="96"/>
      <c r="JV25" s="97"/>
      <c r="JW25" s="98"/>
      <c r="JX25" s="96"/>
      <c r="JY25" s="97"/>
      <c r="JZ25" s="98"/>
      <c r="KA25" s="96"/>
      <c r="KB25" s="97"/>
      <c r="KC25" s="98"/>
      <c r="KD25" s="96"/>
      <c r="KE25" s="97"/>
      <c r="KF25" s="98"/>
      <c r="KG25" s="96"/>
      <c r="KH25" s="97"/>
      <c r="KI25" s="98"/>
      <c r="KJ25" s="96"/>
      <c r="KK25" s="97"/>
      <c r="KL25" s="98"/>
      <c r="KM25" s="96"/>
      <c r="KN25" s="97"/>
      <c r="KO25" s="98"/>
      <c r="KP25" s="96"/>
      <c r="KQ25" s="97"/>
      <c r="KR25" s="98"/>
      <c r="KS25" s="96"/>
      <c r="KT25" s="97"/>
      <c r="KU25" s="98"/>
      <c r="KV25" s="96"/>
      <c r="KW25" s="97"/>
      <c r="KX25" s="98"/>
      <c r="KY25" s="96"/>
      <c r="KZ25" s="97"/>
      <c r="LA25" s="98"/>
      <c r="LB25" s="96"/>
      <c r="LC25" s="97"/>
      <c r="LD25" s="98"/>
      <c r="LE25" s="96"/>
      <c r="LF25" s="97"/>
      <c r="LG25" s="98"/>
      <c r="LH25" s="96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9"/>
      <c r="MZ25" s="95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7"/>
      <c r="NL25" s="98"/>
      <c r="NM25" s="96"/>
      <c r="NN25" s="97"/>
      <c r="NO25" s="98"/>
      <c r="NP25" s="96"/>
      <c r="NQ25" s="97"/>
      <c r="NR25" s="98"/>
      <c r="NS25" s="96"/>
      <c r="NT25" s="97"/>
      <c r="NU25" s="98"/>
      <c r="NV25" s="96"/>
      <c r="NW25" s="97"/>
      <c r="NX25" s="98"/>
      <c r="NY25" s="96"/>
      <c r="NZ25" s="97"/>
      <c r="OA25" s="98"/>
      <c r="OB25" s="96"/>
      <c r="OC25" s="97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9"/>
      <c r="QL25" s="95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7"/>
      <c r="RA25" s="98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9"/>
      <c r="TX25" s="95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7"/>
      <c r="UP25" s="98"/>
      <c r="UQ25" s="96"/>
      <c r="UR25" s="97"/>
      <c r="US25" s="98"/>
      <c r="UT25" s="96"/>
      <c r="UU25" s="97"/>
      <c r="UV25" s="98"/>
      <c r="UW25" s="96"/>
      <c r="UX25" s="97"/>
      <c r="UY25" s="98"/>
      <c r="UZ25" s="96"/>
      <c r="VA25" s="97"/>
      <c r="VB25" s="98"/>
      <c r="VC25" s="96"/>
      <c r="VD25" s="97"/>
      <c r="VE25" s="98"/>
      <c r="VF25" s="96"/>
      <c r="VG25" s="97"/>
      <c r="VH25" s="98"/>
      <c r="VI25" s="96"/>
      <c r="VJ25" s="97"/>
      <c r="VK25" s="98"/>
      <c r="VL25" s="96"/>
      <c r="VM25" s="97"/>
      <c r="VN25" s="98"/>
      <c r="VO25" s="96"/>
      <c r="VP25" s="97"/>
      <c r="VQ25" s="98"/>
      <c r="VR25" s="96"/>
      <c r="VS25" s="97"/>
      <c r="VT25" s="98"/>
      <c r="VU25" s="96"/>
      <c r="VV25" s="97"/>
      <c r="VW25" s="98"/>
      <c r="VX25" s="96"/>
      <c r="VY25" s="97"/>
      <c r="VZ25" s="98"/>
      <c r="WA25" s="96"/>
      <c r="WB25" s="97"/>
      <c r="WC25" s="98"/>
      <c r="WD25" s="96"/>
      <c r="WE25" s="97"/>
      <c r="WF25" s="98"/>
      <c r="WG25" s="96"/>
      <c r="WH25" s="97"/>
      <c r="WI25" s="98"/>
      <c r="WJ25" s="96"/>
      <c r="WK25" s="97"/>
      <c r="WL25" s="98"/>
      <c r="WM25" s="96"/>
      <c r="WN25" s="97"/>
      <c r="WO25" s="98"/>
      <c r="WP25" s="96"/>
      <c r="WQ25" s="97"/>
      <c r="WR25" s="98"/>
      <c r="WS25" s="96"/>
      <c r="WT25" s="97"/>
      <c r="WU25" s="98"/>
      <c r="WV25" s="96"/>
      <c r="WW25" s="97"/>
      <c r="WX25" s="98"/>
      <c r="WY25" s="96"/>
      <c r="WZ25" s="97"/>
      <c r="XA25" s="98"/>
      <c r="XB25" s="96"/>
      <c r="XC25" s="97"/>
      <c r="XD25" s="98"/>
      <c r="XE25" s="96"/>
      <c r="XF25" s="97"/>
      <c r="XG25" s="98"/>
      <c r="XH25" s="96"/>
      <c r="XI25" s="99"/>
      <c r="XJ25" s="95"/>
      <c r="XK25" s="96"/>
      <c r="XL25" s="97"/>
      <c r="XM25" s="98"/>
      <c r="XN25" s="96"/>
      <c r="XO25" s="97"/>
      <c r="XP25" s="98"/>
      <c r="XQ25" s="96"/>
      <c r="XR25" s="97"/>
      <c r="XS25" s="98"/>
      <c r="XT25" s="96"/>
      <c r="XU25" s="97"/>
      <c r="XV25" s="98"/>
      <c r="XW25" s="96"/>
      <c r="XX25" s="97"/>
      <c r="XY25" s="98"/>
      <c r="XZ25" s="96"/>
      <c r="YA25" s="97"/>
      <c r="YB25" s="98"/>
      <c r="YC25" s="96"/>
      <c r="YD25" s="97"/>
      <c r="YE25" s="98"/>
      <c r="YF25" s="96"/>
      <c r="YG25" s="97"/>
      <c r="YH25" s="98"/>
      <c r="YI25" s="96"/>
      <c r="YJ25" s="97"/>
      <c r="YK25" s="98"/>
      <c r="YL25" s="96"/>
      <c r="YM25" s="97"/>
      <c r="YN25" s="98"/>
      <c r="YO25" s="96"/>
      <c r="YP25" s="97"/>
      <c r="YQ25" s="98"/>
      <c r="YR25" s="96"/>
      <c r="YS25" s="97"/>
      <c r="YT25" s="98"/>
      <c r="YU25" s="96"/>
      <c r="YV25" s="97"/>
      <c r="YW25" s="98"/>
      <c r="YX25" s="96"/>
      <c r="YY25" s="97"/>
      <c r="YZ25" s="98"/>
      <c r="ZA25" s="96"/>
      <c r="ZB25" s="97"/>
      <c r="ZC25" s="98"/>
      <c r="ZD25" s="96"/>
      <c r="ZE25" s="97"/>
      <c r="ZF25" s="98"/>
      <c r="ZG25" s="96"/>
      <c r="ZH25" s="97"/>
      <c r="ZI25" s="98"/>
      <c r="ZJ25" s="96"/>
      <c r="ZK25" s="97"/>
      <c r="ZL25" s="98"/>
      <c r="ZM25" s="96"/>
      <c r="ZN25" s="97"/>
      <c r="ZO25" s="98"/>
      <c r="ZP25" s="96"/>
      <c r="ZQ25" s="97"/>
      <c r="ZR25" s="98"/>
      <c r="ZS25" s="96"/>
      <c r="ZT25" s="97"/>
      <c r="ZU25" s="98"/>
      <c r="ZV25" s="96"/>
      <c r="ZW25" s="97"/>
      <c r="ZX25" s="98"/>
      <c r="ZY25" s="96"/>
      <c r="ZZ25" s="97"/>
      <c r="AAA25" s="98"/>
      <c r="AAB25" s="96"/>
      <c r="AAC25" s="97"/>
      <c r="AAD25" s="98"/>
      <c r="AAE25" s="96"/>
      <c r="AAF25" s="97"/>
      <c r="AAG25" s="98"/>
      <c r="AAH25" s="96"/>
      <c r="AAI25" s="97"/>
      <c r="AAJ25" s="98"/>
      <c r="AAK25" s="96"/>
      <c r="AAL25" s="97"/>
      <c r="AAM25" s="98"/>
      <c r="AAN25" s="96"/>
      <c r="AAO25" s="97"/>
      <c r="AAP25" s="98"/>
      <c r="AAQ25" s="96"/>
      <c r="AAR25" s="97"/>
      <c r="AAS25" s="98"/>
      <c r="AAT25" s="96"/>
      <c r="AAU25" s="99"/>
      <c r="AAV25" s="95"/>
      <c r="AAW25" s="96"/>
      <c r="AAX25" s="97"/>
      <c r="AAY25" s="98"/>
      <c r="AAZ25" s="96"/>
      <c r="ABA25" s="97"/>
      <c r="ABB25" s="98"/>
      <c r="ABC25" s="96"/>
      <c r="ABD25" s="97"/>
      <c r="ABE25" s="98"/>
      <c r="ABF25" s="96"/>
      <c r="ABG25" s="97"/>
      <c r="ABH25" s="98"/>
      <c r="ABI25" s="96"/>
      <c r="ABJ25" s="97"/>
      <c r="ABK25" s="98"/>
      <c r="ABL25" s="96"/>
      <c r="ABM25" s="97"/>
      <c r="ABN25" s="98"/>
      <c r="ABO25" s="96"/>
      <c r="ABP25" s="97"/>
      <c r="ABQ25" s="98"/>
      <c r="ABR25" s="96"/>
      <c r="ABS25" s="97"/>
      <c r="ABT25" s="98"/>
      <c r="ABU25" s="96"/>
      <c r="ABV25" s="97"/>
      <c r="ABW25" s="98"/>
      <c r="ABX25" s="96"/>
      <c r="ABY25" s="97"/>
      <c r="ABZ25" s="98"/>
      <c r="ACA25" s="96"/>
      <c r="ACB25" s="97"/>
      <c r="ACC25" s="98"/>
      <c r="ACD25" s="96"/>
      <c r="ACE25" s="97"/>
      <c r="ACF25" s="98"/>
      <c r="ACG25" s="96"/>
      <c r="ACH25" s="97"/>
      <c r="ACI25" s="98"/>
      <c r="ACJ25" s="96"/>
      <c r="ACK25" s="97"/>
      <c r="ACL25" s="98"/>
      <c r="ACM25" s="96"/>
      <c r="ACN25" s="97"/>
      <c r="ACO25" s="98"/>
      <c r="ACP25" s="96"/>
      <c r="ACQ25" s="97"/>
      <c r="ACR25" s="98"/>
      <c r="ACS25" s="96"/>
      <c r="ACT25" s="97"/>
      <c r="ACU25" s="98"/>
      <c r="ACV25" s="96"/>
      <c r="ACW25" s="97"/>
      <c r="ACX25" s="98"/>
      <c r="ACY25" s="96"/>
      <c r="ACZ25" s="97"/>
      <c r="ADA25" s="98"/>
      <c r="ADB25" s="96"/>
      <c r="ADC25" s="97"/>
      <c r="ADD25" s="98"/>
      <c r="ADE25" s="96"/>
      <c r="ADF25" s="97"/>
      <c r="ADG25" s="98"/>
      <c r="ADH25" s="96"/>
      <c r="ADI25" s="97"/>
      <c r="ADJ25" s="98"/>
      <c r="ADK25" s="96"/>
      <c r="ADL25" s="97"/>
      <c r="ADM25" s="98"/>
      <c r="ADN25" s="96"/>
      <c r="ADO25" s="97"/>
      <c r="ADP25" s="98"/>
      <c r="ADQ25" s="96"/>
      <c r="ADR25" s="97"/>
      <c r="ADS25" s="98"/>
      <c r="ADT25" s="96"/>
      <c r="ADU25" s="97"/>
      <c r="ADV25" s="98"/>
      <c r="ADW25" s="96"/>
      <c r="ADX25" s="97"/>
      <c r="ADY25" s="98"/>
      <c r="ADZ25" s="96"/>
      <c r="AEA25" s="97"/>
      <c r="AEB25" s="98"/>
      <c r="AEC25" s="96"/>
      <c r="AED25" s="97"/>
      <c r="AEE25" s="98"/>
      <c r="AEF25" s="96"/>
      <c r="AEG25" s="99"/>
    </row>
    <row r="26" spans="2:813" ht="19.5" customHeight="1" thickBot="1" x14ac:dyDescent="0.3">
      <c r="B26" s="191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5"/>
      <c r="CP26" s="101"/>
      <c r="CQ26" s="102"/>
      <c r="CR26" s="103"/>
      <c r="CS26" s="104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5"/>
      <c r="GB26" s="101"/>
      <c r="GC26" s="102"/>
      <c r="GD26" s="103"/>
      <c r="GE26" s="104"/>
      <c r="GF26" s="102"/>
      <c r="GG26" s="103"/>
      <c r="GH26" s="104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5"/>
      <c r="JN26" s="101"/>
      <c r="JO26" s="102"/>
      <c r="JP26" s="103"/>
      <c r="JQ26" s="104"/>
      <c r="JR26" s="102"/>
      <c r="JS26" s="103"/>
      <c r="JT26" s="104"/>
      <c r="JU26" s="102"/>
      <c r="JV26" s="103"/>
      <c r="JW26" s="104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5"/>
      <c r="MZ26" s="101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3"/>
      <c r="NL26" s="104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5"/>
      <c r="QL26" s="101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3"/>
      <c r="RA26" s="104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5"/>
      <c r="TX26" s="101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3"/>
      <c r="UP26" s="104"/>
      <c r="UQ26" s="102"/>
      <c r="UR26" s="103"/>
      <c r="US26" s="104"/>
      <c r="UT26" s="102"/>
      <c r="UU26" s="103"/>
      <c r="UV26" s="104"/>
      <c r="UW26" s="102"/>
      <c r="UX26" s="103"/>
      <c r="UY26" s="104"/>
      <c r="UZ26" s="102"/>
      <c r="VA26" s="103"/>
      <c r="VB26" s="104"/>
      <c r="VC26" s="102"/>
      <c r="VD26" s="103"/>
      <c r="VE26" s="104"/>
      <c r="VF26" s="102"/>
      <c r="VG26" s="103"/>
      <c r="VH26" s="104"/>
      <c r="VI26" s="102"/>
      <c r="VJ26" s="103"/>
      <c r="VK26" s="104"/>
      <c r="VL26" s="102"/>
      <c r="VM26" s="103"/>
      <c r="VN26" s="104"/>
      <c r="VO26" s="102"/>
      <c r="VP26" s="103"/>
      <c r="VQ26" s="104"/>
      <c r="VR26" s="102"/>
      <c r="VS26" s="103"/>
      <c r="VT26" s="104"/>
      <c r="VU26" s="102"/>
      <c r="VV26" s="103"/>
      <c r="VW26" s="104"/>
      <c r="VX26" s="102"/>
      <c r="VY26" s="103"/>
      <c r="VZ26" s="104"/>
      <c r="WA26" s="102"/>
      <c r="WB26" s="103"/>
      <c r="WC26" s="104"/>
      <c r="WD26" s="102"/>
      <c r="WE26" s="103"/>
      <c r="WF26" s="104"/>
      <c r="WG26" s="102"/>
      <c r="WH26" s="103"/>
      <c r="WI26" s="104"/>
      <c r="WJ26" s="102"/>
      <c r="WK26" s="103"/>
      <c r="WL26" s="104"/>
      <c r="WM26" s="102"/>
      <c r="WN26" s="103"/>
      <c r="WO26" s="104"/>
      <c r="WP26" s="102"/>
      <c r="WQ26" s="103"/>
      <c r="WR26" s="104"/>
      <c r="WS26" s="102"/>
      <c r="WT26" s="103"/>
      <c r="WU26" s="104"/>
      <c r="WV26" s="102"/>
      <c r="WW26" s="103"/>
      <c r="WX26" s="104"/>
      <c r="WY26" s="102"/>
      <c r="WZ26" s="103"/>
      <c r="XA26" s="104"/>
      <c r="XB26" s="102"/>
      <c r="XC26" s="103"/>
      <c r="XD26" s="104"/>
      <c r="XE26" s="102"/>
      <c r="XF26" s="103"/>
      <c r="XG26" s="104"/>
      <c r="XH26" s="102"/>
      <c r="XI26" s="105"/>
      <c r="XJ26" s="101"/>
      <c r="XK26" s="102"/>
      <c r="XL26" s="103"/>
      <c r="XM26" s="104"/>
      <c r="XN26" s="102"/>
      <c r="XO26" s="103"/>
      <c r="XP26" s="104"/>
      <c r="XQ26" s="102"/>
      <c r="XR26" s="103"/>
      <c r="XS26" s="104"/>
      <c r="XT26" s="102"/>
      <c r="XU26" s="103"/>
      <c r="XV26" s="104"/>
      <c r="XW26" s="102"/>
      <c r="XX26" s="103"/>
      <c r="XY26" s="104"/>
      <c r="XZ26" s="102"/>
      <c r="YA26" s="103"/>
      <c r="YB26" s="104"/>
      <c r="YC26" s="102"/>
      <c r="YD26" s="103"/>
      <c r="YE26" s="104"/>
      <c r="YF26" s="102"/>
      <c r="YG26" s="103"/>
      <c r="YH26" s="104"/>
      <c r="YI26" s="102"/>
      <c r="YJ26" s="103"/>
      <c r="YK26" s="104"/>
      <c r="YL26" s="102"/>
      <c r="YM26" s="103"/>
      <c r="YN26" s="104"/>
      <c r="YO26" s="102"/>
      <c r="YP26" s="103"/>
      <c r="YQ26" s="104"/>
      <c r="YR26" s="102"/>
      <c r="YS26" s="103"/>
      <c r="YT26" s="104"/>
      <c r="YU26" s="102"/>
      <c r="YV26" s="103"/>
      <c r="YW26" s="104"/>
      <c r="YX26" s="102"/>
      <c r="YY26" s="103"/>
      <c r="YZ26" s="104"/>
      <c r="ZA26" s="102"/>
      <c r="ZB26" s="103"/>
      <c r="ZC26" s="104"/>
      <c r="ZD26" s="102"/>
      <c r="ZE26" s="103"/>
      <c r="ZF26" s="104"/>
      <c r="ZG26" s="102"/>
      <c r="ZH26" s="103"/>
      <c r="ZI26" s="104"/>
      <c r="ZJ26" s="102"/>
      <c r="ZK26" s="103"/>
      <c r="ZL26" s="104"/>
      <c r="ZM26" s="102"/>
      <c r="ZN26" s="103"/>
      <c r="ZO26" s="104"/>
      <c r="ZP26" s="102"/>
      <c r="ZQ26" s="103"/>
      <c r="ZR26" s="104"/>
      <c r="ZS26" s="102"/>
      <c r="ZT26" s="103"/>
      <c r="ZU26" s="104"/>
      <c r="ZV26" s="102"/>
      <c r="ZW26" s="103"/>
      <c r="ZX26" s="104"/>
      <c r="ZY26" s="102"/>
      <c r="ZZ26" s="103"/>
      <c r="AAA26" s="104"/>
      <c r="AAB26" s="102"/>
      <c r="AAC26" s="103"/>
      <c r="AAD26" s="104"/>
      <c r="AAE26" s="102"/>
      <c r="AAF26" s="103"/>
      <c r="AAG26" s="104"/>
      <c r="AAH26" s="102"/>
      <c r="AAI26" s="103"/>
      <c r="AAJ26" s="104"/>
      <c r="AAK26" s="102"/>
      <c r="AAL26" s="103"/>
      <c r="AAM26" s="104"/>
      <c r="AAN26" s="102"/>
      <c r="AAO26" s="103"/>
      <c r="AAP26" s="104"/>
      <c r="AAQ26" s="102"/>
      <c r="AAR26" s="103"/>
      <c r="AAS26" s="104"/>
      <c r="AAT26" s="102"/>
      <c r="AAU26" s="105"/>
      <c r="AAV26" s="101"/>
      <c r="AAW26" s="102"/>
      <c r="AAX26" s="103"/>
      <c r="AAY26" s="104"/>
      <c r="AAZ26" s="102"/>
      <c r="ABA26" s="103"/>
      <c r="ABB26" s="104"/>
      <c r="ABC26" s="102"/>
      <c r="ABD26" s="103"/>
      <c r="ABE26" s="104"/>
      <c r="ABF26" s="102"/>
      <c r="ABG26" s="103"/>
      <c r="ABH26" s="104"/>
      <c r="ABI26" s="102"/>
      <c r="ABJ26" s="103"/>
      <c r="ABK26" s="104"/>
      <c r="ABL26" s="102"/>
      <c r="ABM26" s="103"/>
      <c r="ABN26" s="104"/>
      <c r="ABO26" s="102"/>
      <c r="ABP26" s="103"/>
      <c r="ABQ26" s="104"/>
      <c r="ABR26" s="102"/>
      <c r="ABS26" s="103"/>
      <c r="ABT26" s="104"/>
      <c r="ABU26" s="102"/>
      <c r="ABV26" s="103"/>
      <c r="ABW26" s="104"/>
      <c r="ABX26" s="102"/>
      <c r="ABY26" s="103"/>
      <c r="ABZ26" s="104"/>
      <c r="ACA26" s="102"/>
      <c r="ACB26" s="103"/>
      <c r="ACC26" s="104"/>
      <c r="ACD26" s="102"/>
      <c r="ACE26" s="103"/>
      <c r="ACF26" s="104"/>
      <c r="ACG26" s="102"/>
      <c r="ACH26" s="103"/>
      <c r="ACI26" s="104"/>
      <c r="ACJ26" s="102"/>
      <c r="ACK26" s="103"/>
      <c r="ACL26" s="104"/>
      <c r="ACM26" s="102"/>
      <c r="ACN26" s="103"/>
      <c r="ACO26" s="104"/>
      <c r="ACP26" s="102"/>
      <c r="ACQ26" s="103"/>
      <c r="ACR26" s="104"/>
      <c r="ACS26" s="102"/>
      <c r="ACT26" s="103"/>
      <c r="ACU26" s="104"/>
      <c r="ACV26" s="102"/>
      <c r="ACW26" s="103"/>
      <c r="ACX26" s="104"/>
      <c r="ACY26" s="102"/>
      <c r="ACZ26" s="103"/>
      <c r="ADA26" s="104"/>
      <c r="ADB26" s="102"/>
      <c r="ADC26" s="103"/>
      <c r="ADD26" s="104"/>
      <c r="ADE26" s="102"/>
      <c r="ADF26" s="103"/>
      <c r="ADG26" s="104"/>
      <c r="ADH26" s="102"/>
      <c r="ADI26" s="103"/>
      <c r="ADJ26" s="104"/>
      <c r="ADK26" s="102"/>
      <c r="ADL26" s="103"/>
      <c r="ADM26" s="104"/>
      <c r="ADN26" s="102"/>
      <c r="ADO26" s="103"/>
      <c r="ADP26" s="104"/>
      <c r="ADQ26" s="102"/>
      <c r="ADR26" s="103"/>
      <c r="ADS26" s="104"/>
      <c r="ADT26" s="102"/>
      <c r="ADU26" s="103"/>
      <c r="ADV26" s="104"/>
      <c r="ADW26" s="102"/>
      <c r="ADX26" s="103"/>
      <c r="ADY26" s="104"/>
      <c r="ADZ26" s="102"/>
      <c r="AEA26" s="103"/>
      <c r="AEB26" s="104"/>
      <c r="AEC26" s="102"/>
      <c r="AED26" s="103"/>
      <c r="AEE26" s="104"/>
      <c r="AEF26" s="102"/>
      <c r="AEG26" s="105"/>
    </row>
    <row r="27" spans="2:813" ht="19.5" customHeight="1" x14ac:dyDescent="0.25">
      <c r="B27" s="190" t="str">
        <f>Donnees!$C$32</f>
        <v>REALISER : Filtres d'ordonnement des membres selon un critère</v>
      </c>
      <c r="C27" s="106">
        <v>12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9"/>
      <c r="CP27" s="95"/>
      <c r="CQ27" s="96"/>
      <c r="CR27" s="97"/>
      <c r="CS27" s="98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9"/>
      <c r="GB27" s="95"/>
      <c r="GC27" s="96"/>
      <c r="GD27" s="97"/>
      <c r="GE27" s="98"/>
      <c r="GF27" s="96"/>
      <c r="GG27" s="97"/>
      <c r="GH27" s="98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153"/>
      <c r="HW27" s="154"/>
      <c r="HX27" s="155"/>
      <c r="HY27" s="153"/>
      <c r="HZ27" s="154"/>
      <c r="IA27" s="98"/>
      <c r="IB27" s="96"/>
      <c r="IC27" s="97"/>
      <c r="ID27" s="98"/>
      <c r="IE27" s="96"/>
      <c r="IF27" s="154"/>
      <c r="IG27" s="155"/>
      <c r="IH27" s="153"/>
      <c r="II27" s="154"/>
      <c r="IJ27" s="155"/>
      <c r="IK27" s="153"/>
      <c r="IL27" s="154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9"/>
      <c r="JN27" s="95"/>
      <c r="JO27" s="96"/>
      <c r="JP27" s="97"/>
      <c r="JQ27" s="98"/>
      <c r="JR27" s="96"/>
      <c r="JS27" s="97"/>
      <c r="JT27" s="98"/>
      <c r="JU27" s="96"/>
      <c r="JV27" s="97"/>
      <c r="JW27" s="98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9"/>
      <c r="MZ27" s="95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7"/>
      <c r="NL27" s="98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98"/>
      <c r="PX27" s="96"/>
      <c r="PY27" s="97"/>
      <c r="PZ27" s="98"/>
      <c r="QA27" s="96"/>
      <c r="QB27" s="97"/>
      <c r="QC27" s="98"/>
      <c r="QD27" s="96"/>
      <c r="QE27" s="97"/>
      <c r="QF27" s="98"/>
      <c r="QG27" s="96"/>
      <c r="QH27" s="97"/>
      <c r="QI27" s="98"/>
      <c r="QJ27" s="96"/>
      <c r="QK27" s="99"/>
      <c r="QL27" s="95"/>
      <c r="QM27" s="96"/>
      <c r="QN27" s="97"/>
      <c r="QO27" s="98"/>
      <c r="QP27" s="96"/>
      <c r="QQ27" s="97"/>
      <c r="QR27" s="98"/>
      <c r="QS27" s="96"/>
      <c r="QT27" s="97"/>
      <c r="QU27" s="98"/>
      <c r="QV27" s="96"/>
      <c r="QW27" s="97"/>
      <c r="QX27" s="98"/>
      <c r="QY27" s="96"/>
      <c r="QZ27" s="97"/>
      <c r="RA27" s="98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9"/>
      <c r="TX27" s="95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7"/>
      <c r="UP27" s="98"/>
      <c r="UQ27" s="96"/>
      <c r="UR27" s="97"/>
      <c r="US27" s="98"/>
      <c r="UT27" s="96"/>
      <c r="UU27" s="97"/>
      <c r="UV27" s="98"/>
      <c r="UW27" s="96"/>
      <c r="UX27" s="97"/>
      <c r="UY27" s="98"/>
      <c r="UZ27" s="96"/>
      <c r="VA27" s="97"/>
      <c r="VB27" s="98"/>
      <c r="VC27" s="96"/>
      <c r="VD27" s="97"/>
      <c r="VE27" s="98"/>
      <c r="VF27" s="96"/>
      <c r="VG27" s="97"/>
      <c r="VH27" s="98"/>
      <c r="VI27" s="96"/>
      <c r="VJ27" s="97"/>
      <c r="VK27" s="98"/>
      <c r="VL27" s="96"/>
      <c r="VM27" s="97"/>
      <c r="VN27" s="98"/>
      <c r="VO27" s="96"/>
      <c r="VP27" s="97"/>
      <c r="VQ27" s="98"/>
      <c r="VR27" s="96"/>
      <c r="VS27" s="97"/>
      <c r="VT27" s="98"/>
      <c r="VU27" s="96"/>
      <c r="VV27" s="97"/>
      <c r="VW27" s="98"/>
      <c r="VX27" s="96"/>
      <c r="VY27" s="97"/>
      <c r="VZ27" s="98"/>
      <c r="WA27" s="96"/>
      <c r="WB27" s="97"/>
      <c r="WC27" s="98"/>
      <c r="WD27" s="96"/>
      <c r="WE27" s="97"/>
      <c r="WF27" s="98"/>
      <c r="WG27" s="96"/>
      <c r="WH27" s="97"/>
      <c r="WI27" s="98"/>
      <c r="WJ27" s="96"/>
      <c r="WK27" s="97"/>
      <c r="WL27" s="98"/>
      <c r="WM27" s="96"/>
      <c r="WN27" s="97"/>
      <c r="WO27" s="98"/>
      <c r="WP27" s="96"/>
      <c r="WQ27" s="97"/>
      <c r="WR27" s="98"/>
      <c r="WS27" s="96"/>
      <c r="WT27" s="97"/>
      <c r="WU27" s="98"/>
      <c r="WV27" s="96"/>
      <c r="WW27" s="97"/>
      <c r="WX27" s="98"/>
      <c r="WY27" s="96"/>
      <c r="WZ27" s="97"/>
      <c r="XA27" s="98"/>
      <c r="XB27" s="96"/>
      <c r="XC27" s="97"/>
      <c r="XD27" s="98"/>
      <c r="XE27" s="96"/>
      <c r="XF27" s="97"/>
      <c r="XG27" s="98"/>
      <c r="XH27" s="96"/>
      <c r="XI27" s="99"/>
      <c r="XJ27" s="95"/>
      <c r="XK27" s="96"/>
      <c r="XL27" s="97"/>
      <c r="XM27" s="98"/>
      <c r="XN27" s="96"/>
      <c r="XO27" s="97"/>
      <c r="XP27" s="98"/>
      <c r="XQ27" s="96"/>
      <c r="XR27" s="97"/>
      <c r="XS27" s="98"/>
      <c r="XT27" s="96"/>
      <c r="XU27" s="97"/>
      <c r="XV27" s="98"/>
      <c r="XW27" s="96"/>
      <c r="XX27" s="97"/>
      <c r="XY27" s="98"/>
      <c r="XZ27" s="96"/>
      <c r="YA27" s="97"/>
      <c r="YB27" s="98"/>
      <c r="YC27" s="96"/>
      <c r="YD27" s="97"/>
      <c r="YE27" s="98"/>
      <c r="YF27" s="96"/>
      <c r="YG27" s="97"/>
      <c r="YH27" s="98"/>
      <c r="YI27" s="96"/>
      <c r="YJ27" s="97"/>
      <c r="YK27" s="98"/>
      <c r="YL27" s="96"/>
      <c r="YM27" s="97"/>
      <c r="YN27" s="98"/>
      <c r="YO27" s="96"/>
      <c r="YP27" s="97"/>
      <c r="YQ27" s="98"/>
      <c r="YR27" s="96"/>
      <c r="YS27" s="97"/>
      <c r="YT27" s="98"/>
      <c r="YU27" s="96"/>
      <c r="YV27" s="97"/>
      <c r="YW27" s="98"/>
      <c r="YX27" s="96"/>
      <c r="YY27" s="97"/>
      <c r="YZ27" s="98"/>
      <c r="ZA27" s="96"/>
      <c r="ZB27" s="97"/>
      <c r="ZC27" s="98"/>
      <c r="ZD27" s="96"/>
      <c r="ZE27" s="97"/>
      <c r="ZF27" s="98"/>
      <c r="ZG27" s="96"/>
      <c r="ZH27" s="97"/>
      <c r="ZI27" s="98"/>
      <c r="ZJ27" s="96"/>
      <c r="ZK27" s="97"/>
      <c r="ZL27" s="98"/>
      <c r="ZM27" s="96"/>
      <c r="ZN27" s="97"/>
      <c r="ZO27" s="98"/>
      <c r="ZP27" s="96"/>
      <c r="ZQ27" s="97"/>
      <c r="ZR27" s="98"/>
      <c r="ZS27" s="96"/>
      <c r="ZT27" s="97"/>
      <c r="ZU27" s="98"/>
      <c r="ZV27" s="96"/>
      <c r="ZW27" s="97"/>
      <c r="ZX27" s="98"/>
      <c r="ZY27" s="96"/>
      <c r="ZZ27" s="97"/>
      <c r="AAA27" s="98"/>
      <c r="AAB27" s="96"/>
      <c r="AAC27" s="97"/>
      <c r="AAD27" s="98"/>
      <c r="AAE27" s="96"/>
      <c r="AAF27" s="97"/>
      <c r="AAG27" s="98"/>
      <c r="AAH27" s="96"/>
      <c r="AAI27" s="97"/>
      <c r="AAJ27" s="98"/>
      <c r="AAK27" s="96"/>
      <c r="AAL27" s="97"/>
      <c r="AAM27" s="98"/>
      <c r="AAN27" s="96"/>
      <c r="AAO27" s="97"/>
      <c r="AAP27" s="98"/>
      <c r="AAQ27" s="96"/>
      <c r="AAR27" s="97"/>
      <c r="AAS27" s="98"/>
      <c r="AAT27" s="96"/>
      <c r="AAU27" s="99"/>
      <c r="AAV27" s="95"/>
      <c r="AAW27" s="96"/>
      <c r="AAX27" s="97"/>
      <c r="AAY27" s="98"/>
      <c r="AAZ27" s="96"/>
      <c r="ABA27" s="97"/>
      <c r="ABB27" s="98"/>
      <c r="ABC27" s="96"/>
      <c r="ABD27" s="97"/>
      <c r="ABE27" s="98"/>
      <c r="ABF27" s="96"/>
      <c r="ABG27" s="97"/>
      <c r="ABH27" s="98"/>
      <c r="ABI27" s="96"/>
      <c r="ABJ27" s="97"/>
      <c r="ABK27" s="98"/>
      <c r="ABL27" s="96"/>
      <c r="ABM27" s="97"/>
      <c r="ABN27" s="98"/>
      <c r="ABO27" s="96"/>
      <c r="ABP27" s="97"/>
      <c r="ABQ27" s="98"/>
      <c r="ABR27" s="96"/>
      <c r="ABS27" s="97"/>
      <c r="ABT27" s="98"/>
      <c r="ABU27" s="96"/>
      <c r="ABV27" s="97"/>
      <c r="ABW27" s="98"/>
      <c r="ABX27" s="96"/>
      <c r="ABY27" s="97"/>
      <c r="ABZ27" s="98"/>
      <c r="ACA27" s="96"/>
      <c r="ACB27" s="97"/>
      <c r="ACC27" s="98"/>
      <c r="ACD27" s="96"/>
      <c r="ACE27" s="97"/>
      <c r="ACF27" s="98"/>
      <c r="ACG27" s="96"/>
      <c r="ACH27" s="97"/>
      <c r="ACI27" s="98"/>
      <c r="ACJ27" s="96"/>
      <c r="ACK27" s="97"/>
      <c r="ACL27" s="98"/>
      <c r="ACM27" s="96"/>
      <c r="ACN27" s="97"/>
      <c r="ACO27" s="98"/>
      <c r="ACP27" s="96"/>
      <c r="ACQ27" s="97"/>
      <c r="ACR27" s="98"/>
      <c r="ACS27" s="96"/>
      <c r="ACT27" s="97"/>
      <c r="ACU27" s="98"/>
      <c r="ACV27" s="96"/>
      <c r="ACW27" s="97"/>
      <c r="ACX27" s="98"/>
      <c r="ACY27" s="96"/>
      <c r="ACZ27" s="97"/>
      <c r="ADA27" s="98"/>
      <c r="ADB27" s="96"/>
      <c r="ADC27" s="97"/>
      <c r="ADD27" s="98"/>
      <c r="ADE27" s="96"/>
      <c r="ADF27" s="97"/>
      <c r="ADG27" s="98"/>
      <c r="ADH27" s="96"/>
      <c r="ADI27" s="97"/>
      <c r="ADJ27" s="98"/>
      <c r="ADK27" s="96"/>
      <c r="ADL27" s="97"/>
      <c r="ADM27" s="98"/>
      <c r="ADN27" s="96"/>
      <c r="ADO27" s="97"/>
      <c r="ADP27" s="98"/>
      <c r="ADQ27" s="96"/>
      <c r="ADR27" s="97"/>
      <c r="ADS27" s="98"/>
      <c r="ADT27" s="96"/>
      <c r="ADU27" s="97"/>
      <c r="ADV27" s="98"/>
      <c r="ADW27" s="96"/>
      <c r="ADX27" s="97"/>
      <c r="ADY27" s="98"/>
      <c r="ADZ27" s="96"/>
      <c r="AEA27" s="97"/>
      <c r="AEB27" s="98"/>
      <c r="AEC27" s="96"/>
      <c r="AED27" s="97"/>
      <c r="AEE27" s="98"/>
      <c r="AEF27" s="96"/>
      <c r="AEG27" s="99"/>
    </row>
    <row r="28" spans="2:813" ht="19.5" customHeight="1" thickBot="1" x14ac:dyDescent="0.3">
      <c r="B28" s="191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5"/>
      <c r="CP28" s="101"/>
      <c r="CQ28" s="102"/>
      <c r="CR28" s="103"/>
      <c r="CS28" s="104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5"/>
      <c r="GB28" s="101"/>
      <c r="GC28" s="102"/>
      <c r="GD28" s="103"/>
      <c r="GE28" s="104"/>
      <c r="GF28" s="102"/>
      <c r="GG28" s="103"/>
      <c r="GH28" s="104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5"/>
      <c r="JN28" s="101"/>
      <c r="JO28" s="102"/>
      <c r="JP28" s="103"/>
      <c r="JQ28" s="104"/>
      <c r="JR28" s="102"/>
      <c r="JS28" s="103"/>
      <c r="JT28" s="104"/>
      <c r="JU28" s="102"/>
      <c r="JV28" s="103"/>
      <c r="JW28" s="104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5"/>
      <c r="MZ28" s="101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3"/>
      <c r="NL28" s="104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5"/>
      <c r="QL28" s="101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3"/>
      <c r="RA28" s="104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5"/>
      <c r="TX28" s="101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3"/>
      <c r="UP28" s="104"/>
      <c r="UQ28" s="102"/>
      <c r="UR28" s="103"/>
      <c r="US28" s="104"/>
      <c r="UT28" s="102"/>
      <c r="UU28" s="103"/>
      <c r="UV28" s="104"/>
      <c r="UW28" s="102"/>
      <c r="UX28" s="103"/>
      <c r="UY28" s="104"/>
      <c r="UZ28" s="102"/>
      <c r="VA28" s="103"/>
      <c r="VB28" s="104"/>
      <c r="VC28" s="102"/>
      <c r="VD28" s="103"/>
      <c r="VE28" s="104"/>
      <c r="VF28" s="102"/>
      <c r="VG28" s="103"/>
      <c r="VH28" s="104"/>
      <c r="VI28" s="102"/>
      <c r="VJ28" s="103"/>
      <c r="VK28" s="104"/>
      <c r="VL28" s="102"/>
      <c r="VM28" s="103"/>
      <c r="VN28" s="104"/>
      <c r="VO28" s="102"/>
      <c r="VP28" s="103"/>
      <c r="VQ28" s="104"/>
      <c r="VR28" s="102"/>
      <c r="VS28" s="103"/>
      <c r="VT28" s="104"/>
      <c r="VU28" s="102"/>
      <c r="VV28" s="103"/>
      <c r="VW28" s="104"/>
      <c r="VX28" s="102"/>
      <c r="VY28" s="103"/>
      <c r="VZ28" s="104"/>
      <c r="WA28" s="102"/>
      <c r="WB28" s="103"/>
      <c r="WC28" s="104"/>
      <c r="WD28" s="102"/>
      <c r="WE28" s="103"/>
      <c r="WF28" s="104"/>
      <c r="WG28" s="102"/>
      <c r="WH28" s="103"/>
      <c r="WI28" s="104"/>
      <c r="WJ28" s="102"/>
      <c r="WK28" s="103"/>
      <c r="WL28" s="104"/>
      <c r="WM28" s="102"/>
      <c r="WN28" s="103"/>
      <c r="WO28" s="104"/>
      <c r="WP28" s="102"/>
      <c r="WQ28" s="103"/>
      <c r="WR28" s="104"/>
      <c r="WS28" s="102"/>
      <c r="WT28" s="103"/>
      <c r="WU28" s="104"/>
      <c r="WV28" s="102"/>
      <c r="WW28" s="103"/>
      <c r="WX28" s="104"/>
      <c r="WY28" s="102"/>
      <c r="WZ28" s="103"/>
      <c r="XA28" s="104"/>
      <c r="XB28" s="102"/>
      <c r="XC28" s="103"/>
      <c r="XD28" s="104"/>
      <c r="XE28" s="102"/>
      <c r="XF28" s="103"/>
      <c r="XG28" s="104"/>
      <c r="XH28" s="102"/>
      <c r="XI28" s="105"/>
      <c r="XJ28" s="101"/>
      <c r="XK28" s="102"/>
      <c r="XL28" s="103"/>
      <c r="XM28" s="104"/>
      <c r="XN28" s="102"/>
      <c r="XO28" s="103"/>
      <c r="XP28" s="104"/>
      <c r="XQ28" s="102"/>
      <c r="XR28" s="103"/>
      <c r="XS28" s="104"/>
      <c r="XT28" s="102"/>
      <c r="XU28" s="103"/>
      <c r="XV28" s="104"/>
      <c r="XW28" s="102"/>
      <c r="XX28" s="103"/>
      <c r="XY28" s="104"/>
      <c r="XZ28" s="102"/>
      <c r="YA28" s="103"/>
      <c r="YB28" s="104"/>
      <c r="YC28" s="102"/>
      <c r="YD28" s="103"/>
      <c r="YE28" s="104"/>
      <c r="YF28" s="102"/>
      <c r="YG28" s="103"/>
      <c r="YH28" s="104"/>
      <c r="YI28" s="102"/>
      <c r="YJ28" s="103"/>
      <c r="YK28" s="104"/>
      <c r="YL28" s="102"/>
      <c r="YM28" s="103"/>
      <c r="YN28" s="104"/>
      <c r="YO28" s="102"/>
      <c r="YP28" s="103"/>
      <c r="YQ28" s="104"/>
      <c r="YR28" s="102"/>
      <c r="YS28" s="103"/>
      <c r="YT28" s="104"/>
      <c r="YU28" s="102"/>
      <c r="YV28" s="103"/>
      <c r="YW28" s="104"/>
      <c r="YX28" s="102"/>
      <c r="YY28" s="103"/>
      <c r="YZ28" s="104"/>
      <c r="ZA28" s="102"/>
      <c r="ZB28" s="103"/>
      <c r="ZC28" s="104"/>
      <c r="ZD28" s="102"/>
      <c r="ZE28" s="103"/>
      <c r="ZF28" s="104"/>
      <c r="ZG28" s="102"/>
      <c r="ZH28" s="103"/>
      <c r="ZI28" s="104"/>
      <c r="ZJ28" s="102"/>
      <c r="ZK28" s="103"/>
      <c r="ZL28" s="104"/>
      <c r="ZM28" s="102"/>
      <c r="ZN28" s="103"/>
      <c r="ZO28" s="104"/>
      <c r="ZP28" s="102"/>
      <c r="ZQ28" s="103"/>
      <c r="ZR28" s="104"/>
      <c r="ZS28" s="102"/>
      <c r="ZT28" s="103"/>
      <c r="ZU28" s="104"/>
      <c r="ZV28" s="102"/>
      <c r="ZW28" s="103"/>
      <c r="ZX28" s="104"/>
      <c r="ZY28" s="102"/>
      <c r="ZZ28" s="103"/>
      <c r="AAA28" s="104"/>
      <c r="AAB28" s="102"/>
      <c r="AAC28" s="103"/>
      <c r="AAD28" s="104"/>
      <c r="AAE28" s="102"/>
      <c r="AAF28" s="103"/>
      <c r="AAG28" s="104"/>
      <c r="AAH28" s="102"/>
      <c r="AAI28" s="103"/>
      <c r="AAJ28" s="104"/>
      <c r="AAK28" s="102"/>
      <c r="AAL28" s="103"/>
      <c r="AAM28" s="104"/>
      <c r="AAN28" s="102"/>
      <c r="AAO28" s="103"/>
      <c r="AAP28" s="104"/>
      <c r="AAQ28" s="102"/>
      <c r="AAR28" s="103"/>
      <c r="AAS28" s="104"/>
      <c r="AAT28" s="102"/>
      <c r="AAU28" s="105"/>
      <c r="AAV28" s="101"/>
      <c r="AAW28" s="102"/>
      <c r="AAX28" s="103"/>
      <c r="AAY28" s="104"/>
      <c r="AAZ28" s="102"/>
      <c r="ABA28" s="103"/>
      <c r="ABB28" s="104"/>
      <c r="ABC28" s="102"/>
      <c r="ABD28" s="103"/>
      <c r="ABE28" s="104"/>
      <c r="ABF28" s="102"/>
      <c r="ABG28" s="103"/>
      <c r="ABH28" s="104"/>
      <c r="ABI28" s="102"/>
      <c r="ABJ28" s="103"/>
      <c r="ABK28" s="104"/>
      <c r="ABL28" s="102"/>
      <c r="ABM28" s="103"/>
      <c r="ABN28" s="104"/>
      <c r="ABO28" s="102"/>
      <c r="ABP28" s="103"/>
      <c r="ABQ28" s="104"/>
      <c r="ABR28" s="102"/>
      <c r="ABS28" s="103"/>
      <c r="ABT28" s="104"/>
      <c r="ABU28" s="102"/>
      <c r="ABV28" s="103"/>
      <c r="ABW28" s="104"/>
      <c r="ABX28" s="102"/>
      <c r="ABY28" s="103"/>
      <c r="ABZ28" s="104"/>
      <c r="ACA28" s="102"/>
      <c r="ACB28" s="103"/>
      <c r="ACC28" s="104"/>
      <c r="ACD28" s="102"/>
      <c r="ACE28" s="103"/>
      <c r="ACF28" s="104"/>
      <c r="ACG28" s="102"/>
      <c r="ACH28" s="103"/>
      <c r="ACI28" s="104"/>
      <c r="ACJ28" s="102"/>
      <c r="ACK28" s="103"/>
      <c r="ACL28" s="104"/>
      <c r="ACM28" s="102"/>
      <c r="ACN28" s="103"/>
      <c r="ACO28" s="104"/>
      <c r="ACP28" s="102"/>
      <c r="ACQ28" s="103"/>
      <c r="ACR28" s="104"/>
      <c r="ACS28" s="102"/>
      <c r="ACT28" s="103"/>
      <c r="ACU28" s="104"/>
      <c r="ACV28" s="102"/>
      <c r="ACW28" s="103"/>
      <c r="ACX28" s="104"/>
      <c r="ACY28" s="102"/>
      <c r="ACZ28" s="103"/>
      <c r="ADA28" s="104"/>
      <c r="ADB28" s="102"/>
      <c r="ADC28" s="103"/>
      <c r="ADD28" s="104"/>
      <c r="ADE28" s="102"/>
      <c r="ADF28" s="103"/>
      <c r="ADG28" s="104"/>
      <c r="ADH28" s="102"/>
      <c r="ADI28" s="103"/>
      <c r="ADJ28" s="104"/>
      <c r="ADK28" s="102"/>
      <c r="ADL28" s="103"/>
      <c r="ADM28" s="104"/>
      <c r="ADN28" s="102"/>
      <c r="ADO28" s="103"/>
      <c r="ADP28" s="104"/>
      <c r="ADQ28" s="102"/>
      <c r="ADR28" s="103"/>
      <c r="ADS28" s="104"/>
      <c r="ADT28" s="102"/>
      <c r="ADU28" s="103"/>
      <c r="ADV28" s="104"/>
      <c r="ADW28" s="102"/>
      <c r="ADX28" s="103"/>
      <c r="ADY28" s="104"/>
      <c r="ADZ28" s="102"/>
      <c r="AEA28" s="103"/>
      <c r="AEB28" s="104"/>
      <c r="AEC28" s="102"/>
      <c r="AED28" s="103"/>
      <c r="AEE28" s="104"/>
      <c r="AEF28" s="102"/>
      <c r="AEG28" s="105"/>
    </row>
    <row r="29" spans="2:813" ht="19.5" customHeight="1" x14ac:dyDescent="0.25">
      <c r="B29" s="190" t="str">
        <f>Donnees!$C$33</f>
        <v>REALISER : Maquettes des différents écrans</v>
      </c>
      <c r="C29" s="106">
        <v>9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9"/>
      <c r="CP29" s="95"/>
      <c r="CQ29" s="96"/>
      <c r="CR29" s="97"/>
      <c r="CS29" s="98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155"/>
      <c r="DI29" s="153"/>
      <c r="DJ29" s="154"/>
      <c r="DK29" s="155"/>
      <c r="DL29" s="153"/>
      <c r="DM29" s="154"/>
      <c r="DN29" s="98"/>
      <c r="DO29" s="96"/>
      <c r="DP29" s="97"/>
      <c r="DQ29" s="98"/>
      <c r="DR29" s="96"/>
      <c r="DS29" s="154"/>
      <c r="DT29" s="155"/>
      <c r="DU29" s="153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97"/>
      <c r="FM29" s="98"/>
      <c r="FN29" s="96"/>
      <c r="FO29" s="97"/>
      <c r="FP29" s="98"/>
      <c r="FQ29" s="96"/>
      <c r="FR29" s="97"/>
      <c r="FS29" s="98"/>
      <c r="FT29" s="96"/>
      <c r="FU29" s="97"/>
      <c r="FV29" s="98"/>
      <c r="FW29" s="96"/>
      <c r="FX29" s="97"/>
      <c r="FY29" s="98"/>
      <c r="FZ29" s="96"/>
      <c r="GA29" s="99"/>
      <c r="GB29" s="95"/>
      <c r="GC29" s="96"/>
      <c r="GD29" s="97"/>
      <c r="GE29" s="98"/>
      <c r="GF29" s="96"/>
      <c r="GG29" s="97"/>
      <c r="GH29" s="98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9"/>
      <c r="JN29" s="95"/>
      <c r="JO29" s="96"/>
      <c r="JP29" s="97"/>
      <c r="JQ29" s="98"/>
      <c r="JR29" s="96"/>
      <c r="JS29" s="97"/>
      <c r="JT29" s="98"/>
      <c r="JU29" s="96"/>
      <c r="JV29" s="97"/>
      <c r="JW29" s="98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9"/>
      <c r="MZ29" s="95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7"/>
      <c r="NL29" s="98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9"/>
      <c r="QL29" s="95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7"/>
      <c r="RA29" s="98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9"/>
      <c r="TX29" s="95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7"/>
      <c r="UP29" s="98"/>
      <c r="UQ29" s="96"/>
      <c r="UR29" s="97"/>
      <c r="US29" s="98"/>
      <c r="UT29" s="96"/>
      <c r="UU29" s="97"/>
      <c r="UV29" s="98"/>
      <c r="UW29" s="96"/>
      <c r="UX29" s="97"/>
      <c r="UY29" s="98"/>
      <c r="UZ29" s="96"/>
      <c r="VA29" s="97"/>
      <c r="VB29" s="98"/>
      <c r="VC29" s="96"/>
      <c r="VD29" s="97"/>
      <c r="VE29" s="98"/>
      <c r="VF29" s="96"/>
      <c r="VG29" s="97"/>
      <c r="VH29" s="98"/>
      <c r="VI29" s="96"/>
      <c r="VJ29" s="97"/>
      <c r="VK29" s="98"/>
      <c r="VL29" s="96"/>
      <c r="VM29" s="97"/>
      <c r="VN29" s="98"/>
      <c r="VO29" s="96"/>
      <c r="VP29" s="97"/>
      <c r="VQ29" s="98"/>
      <c r="VR29" s="96"/>
      <c r="VS29" s="97"/>
      <c r="VT29" s="98"/>
      <c r="VU29" s="96"/>
      <c r="VV29" s="97"/>
      <c r="VW29" s="98"/>
      <c r="VX29" s="96"/>
      <c r="VY29" s="97"/>
      <c r="VZ29" s="98"/>
      <c r="WA29" s="96"/>
      <c r="WB29" s="97"/>
      <c r="WC29" s="98"/>
      <c r="WD29" s="96"/>
      <c r="WE29" s="97"/>
      <c r="WF29" s="98"/>
      <c r="WG29" s="96"/>
      <c r="WH29" s="97"/>
      <c r="WI29" s="98"/>
      <c r="WJ29" s="96"/>
      <c r="WK29" s="97"/>
      <c r="WL29" s="98"/>
      <c r="WM29" s="96"/>
      <c r="WN29" s="97"/>
      <c r="WO29" s="98"/>
      <c r="WP29" s="96"/>
      <c r="WQ29" s="97"/>
      <c r="WR29" s="98"/>
      <c r="WS29" s="96"/>
      <c r="WT29" s="97"/>
      <c r="WU29" s="98"/>
      <c r="WV29" s="96"/>
      <c r="WW29" s="97"/>
      <c r="WX29" s="98"/>
      <c r="WY29" s="96"/>
      <c r="WZ29" s="97"/>
      <c r="XA29" s="98"/>
      <c r="XB29" s="96"/>
      <c r="XC29" s="97"/>
      <c r="XD29" s="98"/>
      <c r="XE29" s="96"/>
      <c r="XF29" s="97"/>
      <c r="XG29" s="98"/>
      <c r="XH29" s="96"/>
      <c r="XI29" s="99"/>
      <c r="XJ29" s="95"/>
      <c r="XK29" s="96"/>
      <c r="XL29" s="97"/>
      <c r="XM29" s="98"/>
      <c r="XN29" s="96"/>
      <c r="XO29" s="97"/>
      <c r="XP29" s="98"/>
      <c r="XQ29" s="96"/>
      <c r="XR29" s="97"/>
      <c r="XS29" s="98"/>
      <c r="XT29" s="96"/>
      <c r="XU29" s="97"/>
      <c r="XV29" s="98"/>
      <c r="XW29" s="96"/>
      <c r="XX29" s="97"/>
      <c r="XY29" s="98"/>
      <c r="XZ29" s="96"/>
      <c r="YA29" s="97"/>
      <c r="YB29" s="98"/>
      <c r="YC29" s="96"/>
      <c r="YD29" s="97"/>
      <c r="YE29" s="98"/>
      <c r="YF29" s="96"/>
      <c r="YG29" s="97"/>
      <c r="YH29" s="98"/>
      <c r="YI29" s="96"/>
      <c r="YJ29" s="97"/>
      <c r="YK29" s="98"/>
      <c r="YL29" s="96"/>
      <c r="YM29" s="97"/>
      <c r="YN29" s="98"/>
      <c r="YO29" s="96"/>
      <c r="YP29" s="97"/>
      <c r="YQ29" s="98"/>
      <c r="YR29" s="96"/>
      <c r="YS29" s="97"/>
      <c r="YT29" s="98"/>
      <c r="YU29" s="96"/>
      <c r="YV29" s="97"/>
      <c r="YW29" s="98"/>
      <c r="YX29" s="96"/>
      <c r="YY29" s="97"/>
      <c r="YZ29" s="98"/>
      <c r="ZA29" s="96"/>
      <c r="ZB29" s="97"/>
      <c r="ZC29" s="98"/>
      <c r="ZD29" s="96"/>
      <c r="ZE29" s="97"/>
      <c r="ZF29" s="98"/>
      <c r="ZG29" s="96"/>
      <c r="ZH29" s="97"/>
      <c r="ZI29" s="98"/>
      <c r="ZJ29" s="96"/>
      <c r="ZK29" s="97"/>
      <c r="ZL29" s="98"/>
      <c r="ZM29" s="96"/>
      <c r="ZN29" s="97"/>
      <c r="ZO29" s="98"/>
      <c r="ZP29" s="96"/>
      <c r="ZQ29" s="97"/>
      <c r="ZR29" s="98"/>
      <c r="ZS29" s="96"/>
      <c r="ZT29" s="97"/>
      <c r="ZU29" s="98"/>
      <c r="ZV29" s="96"/>
      <c r="ZW29" s="97"/>
      <c r="ZX29" s="98"/>
      <c r="ZY29" s="96"/>
      <c r="ZZ29" s="97"/>
      <c r="AAA29" s="98"/>
      <c r="AAB29" s="96"/>
      <c r="AAC29" s="97"/>
      <c r="AAD29" s="98"/>
      <c r="AAE29" s="96"/>
      <c r="AAF29" s="97"/>
      <c r="AAG29" s="98"/>
      <c r="AAH29" s="96"/>
      <c r="AAI29" s="97"/>
      <c r="AAJ29" s="98"/>
      <c r="AAK29" s="96"/>
      <c r="AAL29" s="97"/>
      <c r="AAM29" s="98"/>
      <c r="AAN29" s="96"/>
      <c r="AAO29" s="97"/>
      <c r="AAP29" s="98"/>
      <c r="AAQ29" s="96"/>
      <c r="AAR29" s="97"/>
      <c r="AAS29" s="98"/>
      <c r="AAT29" s="96"/>
      <c r="AAU29" s="99"/>
      <c r="AAV29" s="95"/>
      <c r="AAW29" s="96"/>
      <c r="AAX29" s="97"/>
      <c r="AAY29" s="98"/>
      <c r="AAZ29" s="96"/>
      <c r="ABA29" s="97"/>
      <c r="ABB29" s="98"/>
      <c r="ABC29" s="96"/>
      <c r="ABD29" s="97"/>
      <c r="ABE29" s="98"/>
      <c r="ABF29" s="96"/>
      <c r="ABG29" s="97"/>
      <c r="ABH29" s="98"/>
      <c r="ABI29" s="96"/>
      <c r="ABJ29" s="97"/>
      <c r="ABK29" s="98"/>
      <c r="ABL29" s="96"/>
      <c r="ABM29" s="97"/>
      <c r="ABN29" s="98"/>
      <c r="ABO29" s="96"/>
      <c r="ABP29" s="97"/>
      <c r="ABQ29" s="98"/>
      <c r="ABR29" s="96"/>
      <c r="ABS29" s="97"/>
      <c r="ABT29" s="98"/>
      <c r="ABU29" s="96"/>
      <c r="ABV29" s="97"/>
      <c r="ABW29" s="98"/>
      <c r="ABX29" s="96"/>
      <c r="ABY29" s="97"/>
      <c r="ABZ29" s="98"/>
      <c r="ACA29" s="96"/>
      <c r="ACB29" s="97"/>
      <c r="ACC29" s="98"/>
      <c r="ACD29" s="96"/>
      <c r="ACE29" s="97"/>
      <c r="ACF29" s="98"/>
      <c r="ACG29" s="96"/>
      <c r="ACH29" s="97"/>
      <c r="ACI29" s="98"/>
      <c r="ACJ29" s="96"/>
      <c r="ACK29" s="97"/>
      <c r="ACL29" s="98"/>
      <c r="ACM29" s="96"/>
      <c r="ACN29" s="97"/>
      <c r="ACO29" s="98"/>
      <c r="ACP29" s="96"/>
      <c r="ACQ29" s="97"/>
      <c r="ACR29" s="98"/>
      <c r="ACS29" s="96"/>
      <c r="ACT29" s="97"/>
      <c r="ACU29" s="98"/>
      <c r="ACV29" s="96"/>
      <c r="ACW29" s="97"/>
      <c r="ACX29" s="98"/>
      <c r="ACY29" s="96"/>
      <c r="ACZ29" s="97"/>
      <c r="ADA29" s="98"/>
      <c r="ADB29" s="96"/>
      <c r="ADC29" s="97"/>
      <c r="ADD29" s="98"/>
      <c r="ADE29" s="96"/>
      <c r="ADF29" s="97"/>
      <c r="ADG29" s="98"/>
      <c r="ADH29" s="96"/>
      <c r="ADI29" s="97"/>
      <c r="ADJ29" s="98"/>
      <c r="ADK29" s="96"/>
      <c r="ADL29" s="97"/>
      <c r="ADM29" s="98"/>
      <c r="ADN29" s="96"/>
      <c r="ADO29" s="97"/>
      <c r="ADP29" s="98"/>
      <c r="ADQ29" s="96"/>
      <c r="ADR29" s="97"/>
      <c r="ADS29" s="98"/>
      <c r="ADT29" s="96"/>
      <c r="ADU29" s="97"/>
      <c r="ADV29" s="98"/>
      <c r="ADW29" s="96"/>
      <c r="ADX29" s="97"/>
      <c r="ADY29" s="98"/>
      <c r="ADZ29" s="96"/>
      <c r="AEA29" s="97"/>
      <c r="AEB29" s="98"/>
      <c r="AEC29" s="96"/>
      <c r="AED29" s="97"/>
      <c r="AEE29" s="98"/>
      <c r="AEF29" s="96"/>
      <c r="AEG29" s="99"/>
    </row>
    <row r="30" spans="2:813" ht="19.5" customHeight="1" thickBot="1" x14ac:dyDescent="0.3">
      <c r="B30" s="191"/>
      <c r="C30" s="107">
        <v>0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5"/>
      <c r="CP30" s="101"/>
      <c r="CQ30" s="102"/>
      <c r="CR30" s="103"/>
      <c r="CS30" s="104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04"/>
      <c r="DF30" s="102"/>
      <c r="DG30" s="103"/>
      <c r="DH30" s="104"/>
      <c r="DI30" s="102"/>
      <c r="DJ30" s="103"/>
      <c r="DK30" s="104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5"/>
      <c r="GB30" s="101"/>
      <c r="GC30" s="102"/>
      <c r="GD30" s="103"/>
      <c r="GE30" s="104"/>
      <c r="GF30" s="102"/>
      <c r="GG30" s="103"/>
      <c r="GH30" s="104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5"/>
      <c r="JN30" s="101"/>
      <c r="JO30" s="102"/>
      <c r="JP30" s="103"/>
      <c r="JQ30" s="104"/>
      <c r="JR30" s="102"/>
      <c r="JS30" s="103"/>
      <c r="JT30" s="104"/>
      <c r="JU30" s="102"/>
      <c r="JV30" s="103"/>
      <c r="JW30" s="104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5"/>
      <c r="MZ30" s="101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3"/>
      <c r="NL30" s="104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5"/>
      <c r="QL30" s="101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3"/>
      <c r="RA30" s="104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5"/>
      <c r="TX30" s="101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3"/>
      <c r="UP30" s="104"/>
      <c r="UQ30" s="102"/>
      <c r="UR30" s="103"/>
      <c r="US30" s="104"/>
      <c r="UT30" s="102"/>
      <c r="UU30" s="103"/>
      <c r="UV30" s="104"/>
      <c r="UW30" s="102"/>
      <c r="UX30" s="103"/>
      <c r="UY30" s="104"/>
      <c r="UZ30" s="102"/>
      <c r="VA30" s="103"/>
      <c r="VB30" s="104"/>
      <c r="VC30" s="102"/>
      <c r="VD30" s="103"/>
      <c r="VE30" s="104"/>
      <c r="VF30" s="102"/>
      <c r="VG30" s="103"/>
      <c r="VH30" s="104"/>
      <c r="VI30" s="102"/>
      <c r="VJ30" s="103"/>
      <c r="VK30" s="104"/>
      <c r="VL30" s="102"/>
      <c r="VM30" s="103"/>
      <c r="VN30" s="104"/>
      <c r="VO30" s="102"/>
      <c r="VP30" s="103"/>
      <c r="VQ30" s="104"/>
      <c r="VR30" s="102"/>
      <c r="VS30" s="103"/>
      <c r="VT30" s="104"/>
      <c r="VU30" s="102"/>
      <c r="VV30" s="103"/>
      <c r="VW30" s="104"/>
      <c r="VX30" s="102"/>
      <c r="VY30" s="103"/>
      <c r="VZ30" s="104"/>
      <c r="WA30" s="102"/>
      <c r="WB30" s="103"/>
      <c r="WC30" s="104"/>
      <c r="WD30" s="102"/>
      <c r="WE30" s="103"/>
      <c r="WF30" s="104"/>
      <c r="WG30" s="102"/>
      <c r="WH30" s="103"/>
      <c r="WI30" s="104"/>
      <c r="WJ30" s="102"/>
      <c r="WK30" s="103"/>
      <c r="WL30" s="104"/>
      <c r="WM30" s="102"/>
      <c r="WN30" s="103"/>
      <c r="WO30" s="104"/>
      <c r="WP30" s="102"/>
      <c r="WQ30" s="103"/>
      <c r="WR30" s="104"/>
      <c r="WS30" s="102"/>
      <c r="WT30" s="103"/>
      <c r="WU30" s="104"/>
      <c r="WV30" s="102"/>
      <c r="WW30" s="103"/>
      <c r="WX30" s="104"/>
      <c r="WY30" s="102"/>
      <c r="WZ30" s="103"/>
      <c r="XA30" s="104"/>
      <c r="XB30" s="102"/>
      <c r="XC30" s="103"/>
      <c r="XD30" s="104"/>
      <c r="XE30" s="102"/>
      <c r="XF30" s="103"/>
      <c r="XG30" s="104"/>
      <c r="XH30" s="102"/>
      <c r="XI30" s="105"/>
      <c r="XJ30" s="101"/>
      <c r="XK30" s="102"/>
      <c r="XL30" s="103"/>
      <c r="XM30" s="104"/>
      <c r="XN30" s="102"/>
      <c r="XO30" s="103"/>
      <c r="XP30" s="104"/>
      <c r="XQ30" s="102"/>
      <c r="XR30" s="103"/>
      <c r="XS30" s="104"/>
      <c r="XT30" s="102"/>
      <c r="XU30" s="103"/>
      <c r="XV30" s="104"/>
      <c r="XW30" s="102"/>
      <c r="XX30" s="103"/>
      <c r="XY30" s="104"/>
      <c r="XZ30" s="102"/>
      <c r="YA30" s="103"/>
      <c r="YB30" s="104"/>
      <c r="YC30" s="102"/>
      <c r="YD30" s="103"/>
      <c r="YE30" s="104"/>
      <c r="YF30" s="102"/>
      <c r="YG30" s="103"/>
      <c r="YH30" s="104"/>
      <c r="YI30" s="102"/>
      <c r="YJ30" s="103"/>
      <c r="YK30" s="104"/>
      <c r="YL30" s="102"/>
      <c r="YM30" s="103"/>
      <c r="YN30" s="104"/>
      <c r="YO30" s="102"/>
      <c r="YP30" s="103"/>
      <c r="YQ30" s="104"/>
      <c r="YR30" s="102"/>
      <c r="YS30" s="103"/>
      <c r="YT30" s="104"/>
      <c r="YU30" s="102"/>
      <c r="YV30" s="103"/>
      <c r="YW30" s="104"/>
      <c r="YX30" s="102"/>
      <c r="YY30" s="103"/>
      <c r="YZ30" s="104"/>
      <c r="ZA30" s="102"/>
      <c r="ZB30" s="103"/>
      <c r="ZC30" s="104"/>
      <c r="ZD30" s="102"/>
      <c r="ZE30" s="103"/>
      <c r="ZF30" s="104"/>
      <c r="ZG30" s="102"/>
      <c r="ZH30" s="103"/>
      <c r="ZI30" s="104"/>
      <c r="ZJ30" s="102"/>
      <c r="ZK30" s="103"/>
      <c r="ZL30" s="104"/>
      <c r="ZM30" s="102"/>
      <c r="ZN30" s="103"/>
      <c r="ZO30" s="104"/>
      <c r="ZP30" s="102"/>
      <c r="ZQ30" s="103"/>
      <c r="ZR30" s="104"/>
      <c r="ZS30" s="102"/>
      <c r="ZT30" s="103"/>
      <c r="ZU30" s="104"/>
      <c r="ZV30" s="102"/>
      <c r="ZW30" s="103"/>
      <c r="ZX30" s="104"/>
      <c r="ZY30" s="102"/>
      <c r="ZZ30" s="103"/>
      <c r="AAA30" s="104"/>
      <c r="AAB30" s="102"/>
      <c r="AAC30" s="103"/>
      <c r="AAD30" s="104"/>
      <c r="AAE30" s="102"/>
      <c r="AAF30" s="103"/>
      <c r="AAG30" s="104"/>
      <c r="AAH30" s="102"/>
      <c r="AAI30" s="103"/>
      <c r="AAJ30" s="104"/>
      <c r="AAK30" s="102"/>
      <c r="AAL30" s="103"/>
      <c r="AAM30" s="104"/>
      <c r="AAN30" s="102"/>
      <c r="AAO30" s="103"/>
      <c r="AAP30" s="104"/>
      <c r="AAQ30" s="102"/>
      <c r="AAR30" s="103"/>
      <c r="AAS30" s="104"/>
      <c r="AAT30" s="102"/>
      <c r="AAU30" s="105"/>
      <c r="AAV30" s="101"/>
      <c r="AAW30" s="102"/>
      <c r="AAX30" s="103"/>
      <c r="AAY30" s="104"/>
      <c r="AAZ30" s="102"/>
      <c r="ABA30" s="103"/>
      <c r="ABB30" s="104"/>
      <c r="ABC30" s="102"/>
      <c r="ABD30" s="103"/>
      <c r="ABE30" s="104"/>
      <c r="ABF30" s="102"/>
      <c r="ABG30" s="103"/>
      <c r="ABH30" s="104"/>
      <c r="ABI30" s="102"/>
      <c r="ABJ30" s="103"/>
      <c r="ABK30" s="104"/>
      <c r="ABL30" s="102"/>
      <c r="ABM30" s="103"/>
      <c r="ABN30" s="104"/>
      <c r="ABO30" s="102"/>
      <c r="ABP30" s="103"/>
      <c r="ABQ30" s="104"/>
      <c r="ABR30" s="102"/>
      <c r="ABS30" s="103"/>
      <c r="ABT30" s="104"/>
      <c r="ABU30" s="102"/>
      <c r="ABV30" s="103"/>
      <c r="ABW30" s="104"/>
      <c r="ABX30" s="102"/>
      <c r="ABY30" s="103"/>
      <c r="ABZ30" s="104"/>
      <c r="ACA30" s="102"/>
      <c r="ACB30" s="103"/>
      <c r="ACC30" s="104"/>
      <c r="ACD30" s="102"/>
      <c r="ACE30" s="103"/>
      <c r="ACF30" s="104"/>
      <c r="ACG30" s="102"/>
      <c r="ACH30" s="103"/>
      <c r="ACI30" s="104"/>
      <c r="ACJ30" s="102"/>
      <c r="ACK30" s="103"/>
      <c r="ACL30" s="104"/>
      <c r="ACM30" s="102"/>
      <c r="ACN30" s="103"/>
      <c r="ACO30" s="104"/>
      <c r="ACP30" s="102"/>
      <c r="ACQ30" s="103"/>
      <c r="ACR30" s="104"/>
      <c r="ACS30" s="102"/>
      <c r="ACT30" s="103"/>
      <c r="ACU30" s="104"/>
      <c r="ACV30" s="102"/>
      <c r="ACW30" s="103"/>
      <c r="ACX30" s="104"/>
      <c r="ACY30" s="102"/>
      <c r="ACZ30" s="103"/>
      <c r="ADA30" s="104"/>
      <c r="ADB30" s="102"/>
      <c r="ADC30" s="103"/>
      <c r="ADD30" s="104"/>
      <c r="ADE30" s="102"/>
      <c r="ADF30" s="103"/>
      <c r="ADG30" s="104"/>
      <c r="ADH30" s="102"/>
      <c r="ADI30" s="103"/>
      <c r="ADJ30" s="104"/>
      <c r="ADK30" s="102"/>
      <c r="ADL30" s="103"/>
      <c r="ADM30" s="104"/>
      <c r="ADN30" s="102"/>
      <c r="ADO30" s="103"/>
      <c r="ADP30" s="104"/>
      <c r="ADQ30" s="102"/>
      <c r="ADR30" s="103"/>
      <c r="ADS30" s="104"/>
      <c r="ADT30" s="102"/>
      <c r="ADU30" s="103"/>
      <c r="ADV30" s="104"/>
      <c r="ADW30" s="102"/>
      <c r="ADX30" s="103"/>
      <c r="ADY30" s="104"/>
      <c r="ADZ30" s="102"/>
      <c r="AEA30" s="103"/>
      <c r="AEB30" s="104"/>
      <c r="AEC30" s="102"/>
      <c r="AED30" s="103"/>
      <c r="AEE30" s="104"/>
      <c r="AEF30" s="102"/>
      <c r="AEG30" s="105"/>
    </row>
    <row r="31" spans="2:813" ht="19.5" customHeight="1" x14ac:dyDescent="0.25">
      <c r="B31" s="190" t="str">
        <f>Donnees!$C$34</f>
        <v>REALISER : Export PDF de la liste des membres</v>
      </c>
      <c r="C31" s="106">
        <v>12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9"/>
      <c r="CP31" s="95"/>
      <c r="CQ31" s="96"/>
      <c r="CR31" s="97"/>
      <c r="CS31" s="98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9"/>
      <c r="GB31" s="95"/>
      <c r="GC31" s="96"/>
      <c r="GD31" s="97"/>
      <c r="GE31" s="98"/>
      <c r="GF31" s="96"/>
      <c r="GG31" s="97"/>
      <c r="GH31" s="98"/>
      <c r="GI31" s="96"/>
      <c r="GJ31" s="97"/>
      <c r="GK31" s="98"/>
      <c r="GL31" s="96"/>
      <c r="GM31" s="97"/>
      <c r="GN31" s="98"/>
      <c r="GO31" s="96"/>
      <c r="GP31" s="97"/>
      <c r="GQ31" s="98"/>
      <c r="GR31" s="96"/>
      <c r="GS31" s="97"/>
      <c r="GT31" s="98"/>
      <c r="GU31" s="96"/>
      <c r="GV31" s="97"/>
      <c r="GW31" s="98"/>
      <c r="GX31" s="96"/>
      <c r="GY31" s="97"/>
      <c r="GZ31" s="98"/>
      <c r="HA31" s="96"/>
      <c r="HB31" s="97"/>
      <c r="HC31" s="98"/>
      <c r="HD31" s="96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154"/>
      <c r="IS31" s="155"/>
      <c r="IT31" s="153"/>
      <c r="IU31" s="154"/>
      <c r="IV31" s="155"/>
      <c r="IW31" s="153"/>
      <c r="IX31" s="154"/>
      <c r="IY31" s="155"/>
      <c r="IZ31" s="153"/>
      <c r="JA31" s="154"/>
      <c r="JB31" s="155"/>
      <c r="JC31" s="153"/>
      <c r="JD31" s="97"/>
      <c r="JE31" s="98"/>
      <c r="JF31" s="96"/>
      <c r="JG31" s="97"/>
      <c r="JH31" s="98"/>
      <c r="JI31" s="96"/>
      <c r="JJ31" s="97"/>
      <c r="JK31" s="98"/>
      <c r="JL31" s="96"/>
      <c r="JM31" s="99"/>
      <c r="JN31" s="95"/>
      <c r="JO31" s="96"/>
      <c r="JP31" s="97"/>
      <c r="JQ31" s="98"/>
      <c r="JR31" s="96"/>
      <c r="JS31" s="97"/>
      <c r="JT31" s="98"/>
      <c r="JU31" s="96"/>
      <c r="JV31" s="97"/>
      <c r="JW31" s="98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9"/>
      <c r="MZ31" s="95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7"/>
      <c r="NL31" s="98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9"/>
      <c r="QL31" s="95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7"/>
      <c r="RA31" s="98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9"/>
      <c r="TX31" s="95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7"/>
      <c r="UP31" s="98"/>
      <c r="UQ31" s="96"/>
      <c r="UR31" s="97"/>
      <c r="US31" s="98"/>
      <c r="UT31" s="96"/>
      <c r="UU31" s="97"/>
      <c r="UV31" s="98"/>
      <c r="UW31" s="96"/>
      <c r="UX31" s="97"/>
      <c r="UY31" s="98"/>
      <c r="UZ31" s="96"/>
      <c r="VA31" s="97"/>
      <c r="VB31" s="98"/>
      <c r="VC31" s="96"/>
      <c r="VD31" s="97"/>
      <c r="VE31" s="98"/>
      <c r="VF31" s="96"/>
      <c r="VG31" s="97"/>
      <c r="VH31" s="98"/>
      <c r="VI31" s="96"/>
      <c r="VJ31" s="97"/>
      <c r="VK31" s="98"/>
      <c r="VL31" s="96"/>
      <c r="VM31" s="97"/>
      <c r="VN31" s="98"/>
      <c r="VO31" s="96"/>
      <c r="VP31" s="97"/>
      <c r="VQ31" s="98"/>
      <c r="VR31" s="96"/>
      <c r="VS31" s="97"/>
      <c r="VT31" s="98"/>
      <c r="VU31" s="96"/>
      <c r="VV31" s="97"/>
      <c r="VW31" s="98"/>
      <c r="VX31" s="96"/>
      <c r="VY31" s="97"/>
      <c r="VZ31" s="98"/>
      <c r="WA31" s="96"/>
      <c r="WB31" s="97"/>
      <c r="WC31" s="98"/>
      <c r="WD31" s="96"/>
      <c r="WE31" s="97"/>
      <c r="WF31" s="98"/>
      <c r="WG31" s="96"/>
      <c r="WH31" s="97"/>
      <c r="WI31" s="98"/>
      <c r="WJ31" s="96"/>
      <c r="WK31" s="97"/>
      <c r="WL31" s="98"/>
      <c r="WM31" s="96"/>
      <c r="WN31" s="97"/>
      <c r="WO31" s="98"/>
      <c r="WP31" s="96"/>
      <c r="WQ31" s="97"/>
      <c r="WR31" s="98"/>
      <c r="WS31" s="96"/>
      <c r="WT31" s="97"/>
      <c r="WU31" s="98"/>
      <c r="WV31" s="96"/>
      <c r="WW31" s="97"/>
      <c r="WX31" s="98"/>
      <c r="WY31" s="96"/>
      <c r="WZ31" s="97"/>
      <c r="XA31" s="98"/>
      <c r="XB31" s="96"/>
      <c r="XC31" s="97"/>
      <c r="XD31" s="98"/>
      <c r="XE31" s="96"/>
      <c r="XF31" s="97"/>
      <c r="XG31" s="98"/>
      <c r="XH31" s="96"/>
      <c r="XI31" s="99"/>
      <c r="XJ31" s="95"/>
      <c r="XK31" s="96"/>
      <c r="XL31" s="97"/>
      <c r="XM31" s="98"/>
      <c r="XN31" s="96"/>
      <c r="XO31" s="97"/>
      <c r="XP31" s="98"/>
      <c r="XQ31" s="96"/>
      <c r="XR31" s="97"/>
      <c r="XS31" s="98"/>
      <c r="XT31" s="96"/>
      <c r="XU31" s="97"/>
      <c r="XV31" s="98"/>
      <c r="XW31" s="96"/>
      <c r="XX31" s="97"/>
      <c r="XY31" s="98"/>
      <c r="XZ31" s="96"/>
      <c r="YA31" s="97"/>
      <c r="YB31" s="98"/>
      <c r="YC31" s="96"/>
      <c r="YD31" s="97"/>
      <c r="YE31" s="98"/>
      <c r="YF31" s="96"/>
      <c r="YG31" s="97"/>
      <c r="YH31" s="98"/>
      <c r="YI31" s="96"/>
      <c r="YJ31" s="97"/>
      <c r="YK31" s="98"/>
      <c r="YL31" s="96"/>
      <c r="YM31" s="97"/>
      <c r="YN31" s="98"/>
      <c r="YO31" s="96"/>
      <c r="YP31" s="97"/>
      <c r="YQ31" s="98"/>
      <c r="YR31" s="96"/>
      <c r="YS31" s="97"/>
      <c r="YT31" s="98"/>
      <c r="YU31" s="96"/>
      <c r="YV31" s="97"/>
      <c r="YW31" s="98"/>
      <c r="YX31" s="96"/>
      <c r="YY31" s="97"/>
      <c r="YZ31" s="98"/>
      <c r="ZA31" s="96"/>
      <c r="ZB31" s="97"/>
      <c r="ZC31" s="98"/>
      <c r="ZD31" s="96"/>
      <c r="ZE31" s="97"/>
      <c r="ZF31" s="98"/>
      <c r="ZG31" s="96"/>
      <c r="ZH31" s="97"/>
      <c r="ZI31" s="98"/>
      <c r="ZJ31" s="96"/>
      <c r="ZK31" s="97"/>
      <c r="ZL31" s="98"/>
      <c r="ZM31" s="96"/>
      <c r="ZN31" s="97"/>
      <c r="ZO31" s="98"/>
      <c r="ZP31" s="96"/>
      <c r="ZQ31" s="97"/>
      <c r="ZR31" s="98"/>
      <c r="ZS31" s="96"/>
      <c r="ZT31" s="97"/>
      <c r="ZU31" s="98"/>
      <c r="ZV31" s="96"/>
      <c r="ZW31" s="97"/>
      <c r="ZX31" s="98"/>
      <c r="ZY31" s="96"/>
      <c r="ZZ31" s="97"/>
      <c r="AAA31" s="98"/>
      <c r="AAB31" s="96"/>
      <c r="AAC31" s="97"/>
      <c r="AAD31" s="98"/>
      <c r="AAE31" s="96"/>
      <c r="AAF31" s="97"/>
      <c r="AAG31" s="98"/>
      <c r="AAH31" s="96"/>
      <c r="AAI31" s="97"/>
      <c r="AAJ31" s="98"/>
      <c r="AAK31" s="96"/>
      <c r="AAL31" s="97"/>
      <c r="AAM31" s="98"/>
      <c r="AAN31" s="96"/>
      <c r="AAO31" s="97"/>
      <c r="AAP31" s="98"/>
      <c r="AAQ31" s="96"/>
      <c r="AAR31" s="97"/>
      <c r="AAS31" s="98"/>
      <c r="AAT31" s="96"/>
      <c r="AAU31" s="99"/>
      <c r="AAV31" s="95"/>
      <c r="AAW31" s="96"/>
      <c r="AAX31" s="97"/>
      <c r="AAY31" s="98"/>
      <c r="AAZ31" s="96"/>
      <c r="ABA31" s="97"/>
      <c r="ABB31" s="98"/>
      <c r="ABC31" s="96"/>
      <c r="ABD31" s="97"/>
      <c r="ABE31" s="98"/>
      <c r="ABF31" s="96"/>
      <c r="ABG31" s="97"/>
      <c r="ABH31" s="98"/>
      <c r="ABI31" s="96"/>
      <c r="ABJ31" s="97"/>
      <c r="ABK31" s="98"/>
      <c r="ABL31" s="96"/>
      <c r="ABM31" s="97"/>
      <c r="ABN31" s="98"/>
      <c r="ABO31" s="96"/>
      <c r="ABP31" s="97"/>
      <c r="ABQ31" s="98"/>
      <c r="ABR31" s="96"/>
      <c r="ABS31" s="97"/>
      <c r="ABT31" s="98"/>
      <c r="ABU31" s="96"/>
      <c r="ABV31" s="97"/>
      <c r="ABW31" s="98"/>
      <c r="ABX31" s="96"/>
      <c r="ABY31" s="97"/>
      <c r="ABZ31" s="98"/>
      <c r="ACA31" s="96"/>
      <c r="ACB31" s="97"/>
      <c r="ACC31" s="98"/>
      <c r="ACD31" s="96"/>
      <c r="ACE31" s="97"/>
      <c r="ACF31" s="98"/>
      <c r="ACG31" s="96"/>
      <c r="ACH31" s="97"/>
      <c r="ACI31" s="98"/>
      <c r="ACJ31" s="96"/>
      <c r="ACK31" s="97"/>
      <c r="ACL31" s="98"/>
      <c r="ACM31" s="96"/>
      <c r="ACN31" s="97"/>
      <c r="ACO31" s="98"/>
      <c r="ACP31" s="96"/>
      <c r="ACQ31" s="97"/>
      <c r="ACR31" s="98"/>
      <c r="ACS31" s="96"/>
      <c r="ACT31" s="97"/>
      <c r="ACU31" s="98"/>
      <c r="ACV31" s="96"/>
      <c r="ACW31" s="97"/>
      <c r="ACX31" s="98"/>
      <c r="ACY31" s="96"/>
      <c r="ACZ31" s="97"/>
      <c r="ADA31" s="98"/>
      <c r="ADB31" s="96"/>
      <c r="ADC31" s="97"/>
      <c r="ADD31" s="98"/>
      <c r="ADE31" s="96"/>
      <c r="ADF31" s="97"/>
      <c r="ADG31" s="98"/>
      <c r="ADH31" s="96"/>
      <c r="ADI31" s="97"/>
      <c r="ADJ31" s="98"/>
      <c r="ADK31" s="96"/>
      <c r="ADL31" s="97"/>
      <c r="ADM31" s="98"/>
      <c r="ADN31" s="96"/>
      <c r="ADO31" s="97"/>
      <c r="ADP31" s="98"/>
      <c r="ADQ31" s="96"/>
      <c r="ADR31" s="97"/>
      <c r="ADS31" s="98"/>
      <c r="ADT31" s="96"/>
      <c r="ADU31" s="97"/>
      <c r="ADV31" s="98"/>
      <c r="ADW31" s="96"/>
      <c r="ADX31" s="97"/>
      <c r="ADY31" s="98"/>
      <c r="ADZ31" s="96"/>
      <c r="AEA31" s="97"/>
      <c r="AEB31" s="98"/>
      <c r="AEC31" s="96"/>
      <c r="AED31" s="97"/>
      <c r="AEE31" s="98"/>
      <c r="AEF31" s="96"/>
      <c r="AEG31" s="99"/>
    </row>
    <row r="32" spans="2:813" ht="19.5" customHeight="1" thickBot="1" x14ac:dyDescent="0.3">
      <c r="B32" s="191"/>
      <c r="C32" s="107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5"/>
      <c r="CP32" s="101"/>
      <c r="CQ32" s="102"/>
      <c r="CR32" s="103"/>
      <c r="CS32" s="104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5"/>
      <c r="GB32" s="101"/>
      <c r="GC32" s="102"/>
      <c r="GD32" s="103"/>
      <c r="GE32" s="104"/>
      <c r="GF32" s="102"/>
      <c r="GG32" s="103"/>
      <c r="GH32" s="104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5"/>
      <c r="JN32" s="101"/>
      <c r="JO32" s="102"/>
      <c r="JP32" s="103"/>
      <c r="JQ32" s="104"/>
      <c r="JR32" s="102"/>
      <c r="JS32" s="103"/>
      <c r="JT32" s="104"/>
      <c r="JU32" s="102"/>
      <c r="JV32" s="103"/>
      <c r="JW32" s="104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5"/>
      <c r="MZ32" s="101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3"/>
      <c r="NL32" s="104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5"/>
      <c r="QL32" s="101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3"/>
      <c r="RA32" s="104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5"/>
      <c r="TX32" s="101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3"/>
      <c r="UP32" s="104"/>
      <c r="UQ32" s="102"/>
      <c r="UR32" s="103"/>
      <c r="US32" s="104"/>
      <c r="UT32" s="102"/>
      <c r="UU32" s="103"/>
      <c r="UV32" s="104"/>
      <c r="UW32" s="102"/>
      <c r="UX32" s="103"/>
      <c r="UY32" s="104"/>
      <c r="UZ32" s="102"/>
      <c r="VA32" s="103"/>
      <c r="VB32" s="104"/>
      <c r="VC32" s="102"/>
      <c r="VD32" s="103"/>
      <c r="VE32" s="104"/>
      <c r="VF32" s="102"/>
      <c r="VG32" s="103"/>
      <c r="VH32" s="104"/>
      <c r="VI32" s="102"/>
      <c r="VJ32" s="103"/>
      <c r="VK32" s="104"/>
      <c r="VL32" s="102"/>
      <c r="VM32" s="103"/>
      <c r="VN32" s="104"/>
      <c r="VO32" s="102"/>
      <c r="VP32" s="103"/>
      <c r="VQ32" s="104"/>
      <c r="VR32" s="102"/>
      <c r="VS32" s="103"/>
      <c r="VT32" s="104"/>
      <c r="VU32" s="102"/>
      <c r="VV32" s="103"/>
      <c r="VW32" s="104"/>
      <c r="VX32" s="102"/>
      <c r="VY32" s="103"/>
      <c r="VZ32" s="104"/>
      <c r="WA32" s="102"/>
      <c r="WB32" s="103"/>
      <c r="WC32" s="104"/>
      <c r="WD32" s="102"/>
      <c r="WE32" s="103"/>
      <c r="WF32" s="104"/>
      <c r="WG32" s="102"/>
      <c r="WH32" s="103"/>
      <c r="WI32" s="104"/>
      <c r="WJ32" s="102"/>
      <c r="WK32" s="103"/>
      <c r="WL32" s="104"/>
      <c r="WM32" s="102"/>
      <c r="WN32" s="103"/>
      <c r="WO32" s="104"/>
      <c r="WP32" s="102"/>
      <c r="WQ32" s="103"/>
      <c r="WR32" s="104"/>
      <c r="WS32" s="102"/>
      <c r="WT32" s="103"/>
      <c r="WU32" s="104"/>
      <c r="WV32" s="102"/>
      <c r="WW32" s="103"/>
      <c r="WX32" s="104"/>
      <c r="WY32" s="102"/>
      <c r="WZ32" s="103"/>
      <c r="XA32" s="104"/>
      <c r="XB32" s="102"/>
      <c r="XC32" s="103"/>
      <c r="XD32" s="104"/>
      <c r="XE32" s="102"/>
      <c r="XF32" s="103"/>
      <c r="XG32" s="104"/>
      <c r="XH32" s="102"/>
      <c r="XI32" s="105"/>
      <c r="XJ32" s="101"/>
      <c r="XK32" s="102"/>
      <c r="XL32" s="103"/>
      <c r="XM32" s="104"/>
      <c r="XN32" s="102"/>
      <c r="XO32" s="103"/>
      <c r="XP32" s="104"/>
      <c r="XQ32" s="102"/>
      <c r="XR32" s="103"/>
      <c r="XS32" s="104"/>
      <c r="XT32" s="102"/>
      <c r="XU32" s="103"/>
      <c r="XV32" s="104"/>
      <c r="XW32" s="102"/>
      <c r="XX32" s="103"/>
      <c r="XY32" s="104"/>
      <c r="XZ32" s="102"/>
      <c r="YA32" s="103"/>
      <c r="YB32" s="104"/>
      <c r="YC32" s="102"/>
      <c r="YD32" s="103"/>
      <c r="YE32" s="104"/>
      <c r="YF32" s="102"/>
      <c r="YG32" s="103"/>
      <c r="YH32" s="104"/>
      <c r="YI32" s="102"/>
      <c r="YJ32" s="103"/>
      <c r="YK32" s="104"/>
      <c r="YL32" s="102"/>
      <c r="YM32" s="103"/>
      <c r="YN32" s="104"/>
      <c r="YO32" s="102"/>
      <c r="YP32" s="103"/>
      <c r="YQ32" s="104"/>
      <c r="YR32" s="102"/>
      <c r="YS32" s="103"/>
      <c r="YT32" s="104"/>
      <c r="YU32" s="102"/>
      <c r="YV32" s="103"/>
      <c r="YW32" s="104"/>
      <c r="YX32" s="102"/>
      <c r="YY32" s="103"/>
      <c r="YZ32" s="104"/>
      <c r="ZA32" s="102"/>
      <c r="ZB32" s="103"/>
      <c r="ZC32" s="104"/>
      <c r="ZD32" s="102"/>
      <c r="ZE32" s="103"/>
      <c r="ZF32" s="104"/>
      <c r="ZG32" s="102"/>
      <c r="ZH32" s="103"/>
      <c r="ZI32" s="104"/>
      <c r="ZJ32" s="102"/>
      <c r="ZK32" s="103"/>
      <c r="ZL32" s="104"/>
      <c r="ZM32" s="102"/>
      <c r="ZN32" s="103"/>
      <c r="ZO32" s="104"/>
      <c r="ZP32" s="102"/>
      <c r="ZQ32" s="103"/>
      <c r="ZR32" s="104"/>
      <c r="ZS32" s="102"/>
      <c r="ZT32" s="103"/>
      <c r="ZU32" s="104"/>
      <c r="ZV32" s="102"/>
      <c r="ZW32" s="103"/>
      <c r="ZX32" s="104"/>
      <c r="ZY32" s="102"/>
      <c r="ZZ32" s="103"/>
      <c r="AAA32" s="104"/>
      <c r="AAB32" s="102"/>
      <c r="AAC32" s="103"/>
      <c r="AAD32" s="104"/>
      <c r="AAE32" s="102"/>
      <c r="AAF32" s="103"/>
      <c r="AAG32" s="104"/>
      <c r="AAH32" s="102"/>
      <c r="AAI32" s="103"/>
      <c r="AAJ32" s="104"/>
      <c r="AAK32" s="102"/>
      <c r="AAL32" s="103"/>
      <c r="AAM32" s="104"/>
      <c r="AAN32" s="102"/>
      <c r="AAO32" s="103"/>
      <c r="AAP32" s="104"/>
      <c r="AAQ32" s="102"/>
      <c r="AAR32" s="103"/>
      <c r="AAS32" s="104"/>
      <c r="AAT32" s="102"/>
      <c r="AAU32" s="105"/>
      <c r="AAV32" s="101"/>
      <c r="AAW32" s="102"/>
      <c r="AAX32" s="103"/>
      <c r="AAY32" s="104"/>
      <c r="AAZ32" s="102"/>
      <c r="ABA32" s="103"/>
      <c r="ABB32" s="104"/>
      <c r="ABC32" s="102"/>
      <c r="ABD32" s="103"/>
      <c r="ABE32" s="104"/>
      <c r="ABF32" s="102"/>
      <c r="ABG32" s="103"/>
      <c r="ABH32" s="104"/>
      <c r="ABI32" s="102"/>
      <c r="ABJ32" s="103"/>
      <c r="ABK32" s="104"/>
      <c r="ABL32" s="102"/>
      <c r="ABM32" s="103"/>
      <c r="ABN32" s="104"/>
      <c r="ABO32" s="102"/>
      <c r="ABP32" s="103"/>
      <c r="ABQ32" s="104"/>
      <c r="ABR32" s="102"/>
      <c r="ABS32" s="103"/>
      <c r="ABT32" s="104"/>
      <c r="ABU32" s="102"/>
      <c r="ABV32" s="103"/>
      <c r="ABW32" s="104"/>
      <c r="ABX32" s="102"/>
      <c r="ABY32" s="103"/>
      <c r="ABZ32" s="104"/>
      <c r="ACA32" s="102"/>
      <c r="ACB32" s="103"/>
      <c r="ACC32" s="104"/>
      <c r="ACD32" s="102"/>
      <c r="ACE32" s="103"/>
      <c r="ACF32" s="104"/>
      <c r="ACG32" s="102"/>
      <c r="ACH32" s="103"/>
      <c r="ACI32" s="104"/>
      <c r="ACJ32" s="102"/>
      <c r="ACK32" s="103"/>
      <c r="ACL32" s="104"/>
      <c r="ACM32" s="102"/>
      <c r="ACN32" s="103"/>
      <c r="ACO32" s="104"/>
      <c r="ACP32" s="102"/>
      <c r="ACQ32" s="103"/>
      <c r="ACR32" s="104"/>
      <c r="ACS32" s="102"/>
      <c r="ACT32" s="103"/>
      <c r="ACU32" s="104"/>
      <c r="ACV32" s="102"/>
      <c r="ACW32" s="103"/>
      <c r="ACX32" s="104"/>
      <c r="ACY32" s="102"/>
      <c r="ACZ32" s="103"/>
      <c r="ADA32" s="104"/>
      <c r="ADB32" s="102"/>
      <c r="ADC32" s="103"/>
      <c r="ADD32" s="104"/>
      <c r="ADE32" s="102"/>
      <c r="ADF32" s="103"/>
      <c r="ADG32" s="104"/>
      <c r="ADH32" s="102"/>
      <c r="ADI32" s="103"/>
      <c r="ADJ32" s="104"/>
      <c r="ADK32" s="102"/>
      <c r="ADL32" s="103"/>
      <c r="ADM32" s="104"/>
      <c r="ADN32" s="102"/>
      <c r="ADO32" s="103"/>
      <c r="ADP32" s="104"/>
      <c r="ADQ32" s="102"/>
      <c r="ADR32" s="103"/>
      <c r="ADS32" s="104"/>
      <c r="ADT32" s="102"/>
      <c r="ADU32" s="103"/>
      <c r="ADV32" s="104"/>
      <c r="ADW32" s="102"/>
      <c r="ADX32" s="103"/>
      <c r="ADY32" s="104"/>
      <c r="ADZ32" s="102"/>
      <c r="AEA32" s="103"/>
      <c r="AEB32" s="104"/>
      <c r="AEC32" s="102"/>
      <c r="AED32" s="103"/>
      <c r="AEE32" s="104"/>
      <c r="AEF32" s="102"/>
      <c r="AEG32" s="105"/>
    </row>
    <row r="33" spans="2:813" ht="19.5" customHeight="1" x14ac:dyDescent="0.25">
      <c r="B33" s="190" t="str">
        <f>Donnees!$C$35</f>
        <v>REALISER : Opréation CRUD d'un membre</v>
      </c>
      <c r="C33" s="106">
        <v>12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9"/>
      <c r="CP33" s="95"/>
      <c r="CQ33" s="96"/>
      <c r="CR33" s="97"/>
      <c r="CS33" s="98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9"/>
      <c r="GB33" s="95"/>
      <c r="GC33" s="96"/>
      <c r="GD33" s="97"/>
      <c r="GE33" s="98"/>
      <c r="GF33" s="96"/>
      <c r="GG33" s="154"/>
      <c r="GH33" s="155"/>
      <c r="GI33" s="153"/>
      <c r="GJ33" s="154"/>
      <c r="GK33" s="155"/>
      <c r="GL33" s="153"/>
      <c r="GM33" s="154"/>
      <c r="GN33" s="155"/>
      <c r="GO33" s="153"/>
      <c r="GP33" s="154"/>
      <c r="GQ33" s="155"/>
      <c r="GR33" s="153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96"/>
      <c r="HZ33" s="97"/>
      <c r="IA33" s="98"/>
      <c r="IB33" s="96"/>
      <c r="IC33" s="97"/>
      <c r="ID33" s="98"/>
      <c r="IE33" s="96"/>
      <c r="IF33" s="97"/>
      <c r="IG33" s="98"/>
      <c r="IH33" s="96"/>
      <c r="II33" s="97"/>
      <c r="IJ33" s="98"/>
      <c r="IK33" s="96"/>
      <c r="IL33" s="97"/>
      <c r="IM33" s="98"/>
      <c r="IN33" s="96"/>
      <c r="IO33" s="97"/>
      <c r="IP33" s="98"/>
      <c r="IQ33" s="96"/>
      <c r="IR33" s="97"/>
      <c r="IS33" s="98"/>
      <c r="IT33" s="96"/>
      <c r="IU33" s="97"/>
      <c r="IV33" s="98"/>
      <c r="IW33" s="96"/>
      <c r="IX33" s="97"/>
      <c r="IY33" s="98"/>
      <c r="IZ33" s="96"/>
      <c r="JA33" s="97"/>
      <c r="JB33" s="98"/>
      <c r="JC33" s="96"/>
      <c r="JD33" s="97"/>
      <c r="JE33" s="98"/>
      <c r="JF33" s="96"/>
      <c r="JG33" s="97"/>
      <c r="JH33" s="98"/>
      <c r="JI33" s="96"/>
      <c r="JJ33" s="97"/>
      <c r="JK33" s="98"/>
      <c r="JL33" s="96"/>
      <c r="JM33" s="99"/>
      <c r="JN33" s="95"/>
      <c r="JO33" s="96"/>
      <c r="JP33" s="97"/>
      <c r="JQ33" s="98"/>
      <c r="JR33" s="96"/>
      <c r="JS33" s="97"/>
      <c r="JT33" s="98"/>
      <c r="JU33" s="96"/>
      <c r="JV33" s="97"/>
      <c r="JW33" s="98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9"/>
      <c r="MZ33" s="95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7"/>
      <c r="NL33" s="98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9"/>
      <c r="QL33" s="95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7"/>
      <c r="RA33" s="98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9"/>
      <c r="TX33" s="95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7"/>
      <c r="UP33" s="98"/>
      <c r="UQ33" s="96"/>
      <c r="UR33" s="97"/>
      <c r="US33" s="98"/>
      <c r="UT33" s="96"/>
      <c r="UU33" s="97"/>
      <c r="UV33" s="98"/>
      <c r="UW33" s="96"/>
      <c r="UX33" s="97"/>
      <c r="UY33" s="98"/>
      <c r="UZ33" s="96"/>
      <c r="VA33" s="97"/>
      <c r="VB33" s="98"/>
      <c r="VC33" s="96"/>
      <c r="VD33" s="97"/>
      <c r="VE33" s="98"/>
      <c r="VF33" s="96"/>
      <c r="VG33" s="97"/>
      <c r="VH33" s="98"/>
      <c r="VI33" s="96"/>
      <c r="VJ33" s="97"/>
      <c r="VK33" s="98"/>
      <c r="VL33" s="96"/>
      <c r="VM33" s="97"/>
      <c r="VN33" s="98"/>
      <c r="VO33" s="96"/>
      <c r="VP33" s="97"/>
      <c r="VQ33" s="98"/>
      <c r="VR33" s="96"/>
      <c r="VS33" s="97"/>
      <c r="VT33" s="98"/>
      <c r="VU33" s="96"/>
      <c r="VV33" s="97"/>
      <c r="VW33" s="98"/>
      <c r="VX33" s="96"/>
      <c r="VY33" s="97"/>
      <c r="VZ33" s="98"/>
      <c r="WA33" s="96"/>
      <c r="WB33" s="97"/>
      <c r="WC33" s="98"/>
      <c r="WD33" s="96"/>
      <c r="WE33" s="97"/>
      <c r="WF33" s="98"/>
      <c r="WG33" s="96"/>
      <c r="WH33" s="97"/>
      <c r="WI33" s="98"/>
      <c r="WJ33" s="96"/>
      <c r="WK33" s="97"/>
      <c r="WL33" s="98"/>
      <c r="WM33" s="96"/>
      <c r="WN33" s="97"/>
      <c r="WO33" s="98"/>
      <c r="WP33" s="96"/>
      <c r="WQ33" s="97"/>
      <c r="WR33" s="98"/>
      <c r="WS33" s="96"/>
      <c r="WT33" s="97"/>
      <c r="WU33" s="98"/>
      <c r="WV33" s="96"/>
      <c r="WW33" s="97"/>
      <c r="WX33" s="98"/>
      <c r="WY33" s="96"/>
      <c r="WZ33" s="97"/>
      <c r="XA33" s="98"/>
      <c r="XB33" s="96"/>
      <c r="XC33" s="97"/>
      <c r="XD33" s="98"/>
      <c r="XE33" s="96"/>
      <c r="XF33" s="97"/>
      <c r="XG33" s="98"/>
      <c r="XH33" s="96"/>
      <c r="XI33" s="99"/>
      <c r="XJ33" s="95"/>
      <c r="XK33" s="96"/>
      <c r="XL33" s="97"/>
      <c r="XM33" s="98"/>
      <c r="XN33" s="96"/>
      <c r="XO33" s="97"/>
      <c r="XP33" s="98"/>
      <c r="XQ33" s="96"/>
      <c r="XR33" s="97"/>
      <c r="XS33" s="98"/>
      <c r="XT33" s="96"/>
      <c r="XU33" s="97"/>
      <c r="XV33" s="98"/>
      <c r="XW33" s="96"/>
      <c r="XX33" s="97"/>
      <c r="XY33" s="98"/>
      <c r="XZ33" s="96"/>
      <c r="YA33" s="97"/>
      <c r="YB33" s="98"/>
      <c r="YC33" s="96"/>
      <c r="YD33" s="97"/>
      <c r="YE33" s="98"/>
      <c r="YF33" s="96"/>
      <c r="YG33" s="97"/>
      <c r="YH33" s="98"/>
      <c r="YI33" s="96"/>
      <c r="YJ33" s="97"/>
      <c r="YK33" s="98"/>
      <c r="YL33" s="96"/>
      <c r="YM33" s="97"/>
      <c r="YN33" s="98"/>
      <c r="YO33" s="96"/>
      <c r="YP33" s="97"/>
      <c r="YQ33" s="98"/>
      <c r="YR33" s="96"/>
      <c r="YS33" s="97"/>
      <c r="YT33" s="98"/>
      <c r="YU33" s="96"/>
      <c r="YV33" s="97"/>
      <c r="YW33" s="98"/>
      <c r="YX33" s="96"/>
      <c r="YY33" s="97"/>
      <c r="YZ33" s="98"/>
      <c r="ZA33" s="96"/>
      <c r="ZB33" s="97"/>
      <c r="ZC33" s="98"/>
      <c r="ZD33" s="96"/>
      <c r="ZE33" s="97"/>
      <c r="ZF33" s="98"/>
      <c r="ZG33" s="96"/>
      <c r="ZH33" s="97"/>
      <c r="ZI33" s="98"/>
      <c r="ZJ33" s="96"/>
      <c r="ZK33" s="97"/>
      <c r="ZL33" s="98"/>
      <c r="ZM33" s="96"/>
      <c r="ZN33" s="97"/>
      <c r="ZO33" s="98"/>
      <c r="ZP33" s="96"/>
      <c r="ZQ33" s="97"/>
      <c r="ZR33" s="98"/>
      <c r="ZS33" s="96"/>
      <c r="ZT33" s="97"/>
      <c r="ZU33" s="98"/>
      <c r="ZV33" s="96"/>
      <c r="ZW33" s="97"/>
      <c r="ZX33" s="98"/>
      <c r="ZY33" s="96"/>
      <c r="ZZ33" s="97"/>
      <c r="AAA33" s="98"/>
      <c r="AAB33" s="96"/>
      <c r="AAC33" s="97"/>
      <c r="AAD33" s="98"/>
      <c r="AAE33" s="96"/>
      <c r="AAF33" s="97"/>
      <c r="AAG33" s="98"/>
      <c r="AAH33" s="96"/>
      <c r="AAI33" s="97"/>
      <c r="AAJ33" s="98"/>
      <c r="AAK33" s="96"/>
      <c r="AAL33" s="97"/>
      <c r="AAM33" s="98"/>
      <c r="AAN33" s="96"/>
      <c r="AAO33" s="97"/>
      <c r="AAP33" s="98"/>
      <c r="AAQ33" s="96"/>
      <c r="AAR33" s="97"/>
      <c r="AAS33" s="98"/>
      <c r="AAT33" s="96"/>
      <c r="AAU33" s="99"/>
      <c r="AAV33" s="95"/>
      <c r="AAW33" s="96"/>
      <c r="AAX33" s="97"/>
      <c r="AAY33" s="98"/>
      <c r="AAZ33" s="96"/>
      <c r="ABA33" s="97"/>
      <c r="ABB33" s="98"/>
      <c r="ABC33" s="96"/>
      <c r="ABD33" s="97"/>
      <c r="ABE33" s="98"/>
      <c r="ABF33" s="96"/>
      <c r="ABG33" s="97"/>
      <c r="ABH33" s="98"/>
      <c r="ABI33" s="96"/>
      <c r="ABJ33" s="97"/>
      <c r="ABK33" s="98"/>
      <c r="ABL33" s="96"/>
      <c r="ABM33" s="97"/>
      <c r="ABN33" s="98"/>
      <c r="ABO33" s="96"/>
      <c r="ABP33" s="97"/>
      <c r="ABQ33" s="98"/>
      <c r="ABR33" s="96"/>
      <c r="ABS33" s="97"/>
      <c r="ABT33" s="98"/>
      <c r="ABU33" s="96"/>
      <c r="ABV33" s="97"/>
      <c r="ABW33" s="98"/>
      <c r="ABX33" s="96"/>
      <c r="ABY33" s="97"/>
      <c r="ABZ33" s="98"/>
      <c r="ACA33" s="96"/>
      <c r="ACB33" s="97"/>
      <c r="ACC33" s="98"/>
      <c r="ACD33" s="96"/>
      <c r="ACE33" s="97"/>
      <c r="ACF33" s="98"/>
      <c r="ACG33" s="96"/>
      <c r="ACH33" s="97"/>
      <c r="ACI33" s="98"/>
      <c r="ACJ33" s="96"/>
      <c r="ACK33" s="97"/>
      <c r="ACL33" s="98"/>
      <c r="ACM33" s="96"/>
      <c r="ACN33" s="97"/>
      <c r="ACO33" s="98"/>
      <c r="ACP33" s="96"/>
      <c r="ACQ33" s="97"/>
      <c r="ACR33" s="98"/>
      <c r="ACS33" s="96"/>
      <c r="ACT33" s="97"/>
      <c r="ACU33" s="98"/>
      <c r="ACV33" s="96"/>
      <c r="ACW33" s="97"/>
      <c r="ACX33" s="98"/>
      <c r="ACY33" s="96"/>
      <c r="ACZ33" s="97"/>
      <c r="ADA33" s="98"/>
      <c r="ADB33" s="96"/>
      <c r="ADC33" s="97"/>
      <c r="ADD33" s="98"/>
      <c r="ADE33" s="96"/>
      <c r="ADF33" s="97"/>
      <c r="ADG33" s="98"/>
      <c r="ADH33" s="96"/>
      <c r="ADI33" s="97"/>
      <c r="ADJ33" s="98"/>
      <c r="ADK33" s="96"/>
      <c r="ADL33" s="97"/>
      <c r="ADM33" s="98"/>
      <c r="ADN33" s="96"/>
      <c r="ADO33" s="97"/>
      <c r="ADP33" s="98"/>
      <c r="ADQ33" s="96"/>
      <c r="ADR33" s="97"/>
      <c r="ADS33" s="98"/>
      <c r="ADT33" s="96"/>
      <c r="ADU33" s="97"/>
      <c r="ADV33" s="98"/>
      <c r="ADW33" s="96"/>
      <c r="ADX33" s="97"/>
      <c r="ADY33" s="98"/>
      <c r="ADZ33" s="96"/>
      <c r="AEA33" s="97"/>
      <c r="AEB33" s="98"/>
      <c r="AEC33" s="96"/>
      <c r="AED33" s="97"/>
      <c r="AEE33" s="98"/>
      <c r="AEF33" s="96"/>
      <c r="AEG33" s="99"/>
    </row>
    <row r="34" spans="2:813" ht="19.5" customHeight="1" thickBot="1" x14ac:dyDescent="0.3">
      <c r="B34" s="191"/>
      <c r="C34" s="107">
        <v>0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5"/>
      <c r="CP34" s="101"/>
      <c r="CQ34" s="102"/>
      <c r="CR34" s="103"/>
      <c r="CS34" s="104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03"/>
      <c r="EX34" s="104"/>
      <c r="EY34" s="102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5"/>
      <c r="GB34" s="101"/>
      <c r="GC34" s="102"/>
      <c r="GD34" s="103"/>
      <c r="GE34" s="104"/>
      <c r="GF34" s="102"/>
      <c r="GG34" s="103"/>
      <c r="GH34" s="104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5"/>
      <c r="JN34" s="101"/>
      <c r="JO34" s="102"/>
      <c r="JP34" s="103"/>
      <c r="JQ34" s="104"/>
      <c r="JR34" s="102"/>
      <c r="JS34" s="103"/>
      <c r="JT34" s="104"/>
      <c r="JU34" s="102"/>
      <c r="JV34" s="103"/>
      <c r="JW34" s="104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5"/>
      <c r="MZ34" s="101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3"/>
      <c r="NL34" s="104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5"/>
      <c r="QL34" s="101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3"/>
      <c r="RA34" s="104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5"/>
      <c r="TX34" s="101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3"/>
      <c r="UP34" s="104"/>
      <c r="UQ34" s="102"/>
      <c r="UR34" s="103"/>
      <c r="US34" s="104"/>
      <c r="UT34" s="102"/>
      <c r="UU34" s="103"/>
      <c r="UV34" s="104"/>
      <c r="UW34" s="102"/>
      <c r="UX34" s="103"/>
      <c r="UY34" s="104"/>
      <c r="UZ34" s="102"/>
      <c r="VA34" s="103"/>
      <c r="VB34" s="104"/>
      <c r="VC34" s="102"/>
      <c r="VD34" s="103"/>
      <c r="VE34" s="104"/>
      <c r="VF34" s="102"/>
      <c r="VG34" s="103"/>
      <c r="VH34" s="104"/>
      <c r="VI34" s="102"/>
      <c r="VJ34" s="103"/>
      <c r="VK34" s="104"/>
      <c r="VL34" s="102"/>
      <c r="VM34" s="103"/>
      <c r="VN34" s="104"/>
      <c r="VO34" s="102"/>
      <c r="VP34" s="103"/>
      <c r="VQ34" s="104"/>
      <c r="VR34" s="102"/>
      <c r="VS34" s="103"/>
      <c r="VT34" s="104"/>
      <c r="VU34" s="102"/>
      <c r="VV34" s="103"/>
      <c r="VW34" s="104"/>
      <c r="VX34" s="102"/>
      <c r="VY34" s="103"/>
      <c r="VZ34" s="104"/>
      <c r="WA34" s="102"/>
      <c r="WB34" s="103"/>
      <c r="WC34" s="104"/>
      <c r="WD34" s="102"/>
      <c r="WE34" s="103"/>
      <c r="WF34" s="104"/>
      <c r="WG34" s="102"/>
      <c r="WH34" s="103"/>
      <c r="WI34" s="104"/>
      <c r="WJ34" s="102"/>
      <c r="WK34" s="103"/>
      <c r="WL34" s="104"/>
      <c r="WM34" s="102"/>
      <c r="WN34" s="103"/>
      <c r="WO34" s="104"/>
      <c r="WP34" s="102"/>
      <c r="WQ34" s="103"/>
      <c r="WR34" s="104"/>
      <c r="WS34" s="102"/>
      <c r="WT34" s="103"/>
      <c r="WU34" s="104"/>
      <c r="WV34" s="102"/>
      <c r="WW34" s="103"/>
      <c r="WX34" s="104"/>
      <c r="WY34" s="102"/>
      <c r="WZ34" s="103"/>
      <c r="XA34" s="104"/>
      <c r="XB34" s="102"/>
      <c r="XC34" s="103"/>
      <c r="XD34" s="104"/>
      <c r="XE34" s="102"/>
      <c r="XF34" s="103"/>
      <c r="XG34" s="104"/>
      <c r="XH34" s="102"/>
      <c r="XI34" s="105"/>
      <c r="XJ34" s="101"/>
      <c r="XK34" s="102"/>
      <c r="XL34" s="103"/>
      <c r="XM34" s="104"/>
      <c r="XN34" s="102"/>
      <c r="XO34" s="103"/>
      <c r="XP34" s="104"/>
      <c r="XQ34" s="102"/>
      <c r="XR34" s="103"/>
      <c r="XS34" s="104"/>
      <c r="XT34" s="102"/>
      <c r="XU34" s="103"/>
      <c r="XV34" s="104"/>
      <c r="XW34" s="102"/>
      <c r="XX34" s="103"/>
      <c r="XY34" s="104"/>
      <c r="XZ34" s="102"/>
      <c r="YA34" s="103"/>
      <c r="YB34" s="104"/>
      <c r="YC34" s="102"/>
      <c r="YD34" s="103"/>
      <c r="YE34" s="104"/>
      <c r="YF34" s="102"/>
      <c r="YG34" s="103"/>
      <c r="YH34" s="104"/>
      <c r="YI34" s="102"/>
      <c r="YJ34" s="103"/>
      <c r="YK34" s="104"/>
      <c r="YL34" s="102"/>
      <c r="YM34" s="103"/>
      <c r="YN34" s="104"/>
      <c r="YO34" s="102"/>
      <c r="YP34" s="103"/>
      <c r="YQ34" s="104"/>
      <c r="YR34" s="102"/>
      <c r="YS34" s="103"/>
      <c r="YT34" s="104"/>
      <c r="YU34" s="102"/>
      <c r="YV34" s="103"/>
      <c r="YW34" s="104"/>
      <c r="YX34" s="102"/>
      <c r="YY34" s="103"/>
      <c r="YZ34" s="104"/>
      <c r="ZA34" s="102"/>
      <c r="ZB34" s="103"/>
      <c r="ZC34" s="104"/>
      <c r="ZD34" s="102"/>
      <c r="ZE34" s="103"/>
      <c r="ZF34" s="104"/>
      <c r="ZG34" s="102"/>
      <c r="ZH34" s="103"/>
      <c r="ZI34" s="104"/>
      <c r="ZJ34" s="102"/>
      <c r="ZK34" s="103"/>
      <c r="ZL34" s="104"/>
      <c r="ZM34" s="102"/>
      <c r="ZN34" s="103"/>
      <c r="ZO34" s="104"/>
      <c r="ZP34" s="102"/>
      <c r="ZQ34" s="103"/>
      <c r="ZR34" s="104"/>
      <c r="ZS34" s="102"/>
      <c r="ZT34" s="103"/>
      <c r="ZU34" s="104"/>
      <c r="ZV34" s="102"/>
      <c r="ZW34" s="103"/>
      <c r="ZX34" s="104"/>
      <c r="ZY34" s="102"/>
      <c r="ZZ34" s="103"/>
      <c r="AAA34" s="104"/>
      <c r="AAB34" s="102"/>
      <c r="AAC34" s="103"/>
      <c r="AAD34" s="104"/>
      <c r="AAE34" s="102"/>
      <c r="AAF34" s="103"/>
      <c r="AAG34" s="104"/>
      <c r="AAH34" s="102"/>
      <c r="AAI34" s="103"/>
      <c r="AAJ34" s="104"/>
      <c r="AAK34" s="102"/>
      <c r="AAL34" s="103"/>
      <c r="AAM34" s="104"/>
      <c r="AAN34" s="102"/>
      <c r="AAO34" s="103"/>
      <c r="AAP34" s="104"/>
      <c r="AAQ34" s="102"/>
      <c r="AAR34" s="103"/>
      <c r="AAS34" s="104"/>
      <c r="AAT34" s="102"/>
      <c r="AAU34" s="105"/>
      <c r="AAV34" s="101"/>
      <c r="AAW34" s="102"/>
      <c r="AAX34" s="103"/>
      <c r="AAY34" s="104"/>
      <c r="AAZ34" s="102"/>
      <c r="ABA34" s="103"/>
      <c r="ABB34" s="104"/>
      <c r="ABC34" s="102"/>
      <c r="ABD34" s="103"/>
      <c r="ABE34" s="104"/>
      <c r="ABF34" s="102"/>
      <c r="ABG34" s="103"/>
      <c r="ABH34" s="104"/>
      <c r="ABI34" s="102"/>
      <c r="ABJ34" s="103"/>
      <c r="ABK34" s="104"/>
      <c r="ABL34" s="102"/>
      <c r="ABM34" s="103"/>
      <c r="ABN34" s="104"/>
      <c r="ABO34" s="102"/>
      <c r="ABP34" s="103"/>
      <c r="ABQ34" s="104"/>
      <c r="ABR34" s="102"/>
      <c r="ABS34" s="103"/>
      <c r="ABT34" s="104"/>
      <c r="ABU34" s="102"/>
      <c r="ABV34" s="103"/>
      <c r="ABW34" s="104"/>
      <c r="ABX34" s="102"/>
      <c r="ABY34" s="103"/>
      <c r="ABZ34" s="104"/>
      <c r="ACA34" s="102"/>
      <c r="ACB34" s="103"/>
      <c r="ACC34" s="104"/>
      <c r="ACD34" s="102"/>
      <c r="ACE34" s="103"/>
      <c r="ACF34" s="104"/>
      <c r="ACG34" s="102"/>
      <c r="ACH34" s="103"/>
      <c r="ACI34" s="104"/>
      <c r="ACJ34" s="102"/>
      <c r="ACK34" s="103"/>
      <c r="ACL34" s="104"/>
      <c r="ACM34" s="102"/>
      <c r="ACN34" s="103"/>
      <c r="ACO34" s="104"/>
      <c r="ACP34" s="102"/>
      <c r="ACQ34" s="103"/>
      <c r="ACR34" s="104"/>
      <c r="ACS34" s="102"/>
      <c r="ACT34" s="103"/>
      <c r="ACU34" s="104"/>
      <c r="ACV34" s="102"/>
      <c r="ACW34" s="103"/>
      <c r="ACX34" s="104"/>
      <c r="ACY34" s="102"/>
      <c r="ACZ34" s="103"/>
      <c r="ADA34" s="104"/>
      <c r="ADB34" s="102"/>
      <c r="ADC34" s="103"/>
      <c r="ADD34" s="104"/>
      <c r="ADE34" s="102"/>
      <c r="ADF34" s="103"/>
      <c r="ADG34" s="104"/>
      <c r="ADH34" s="102"/>
      <c r="ADI34" s="103"/>
      <c r="ADJ34" s="104"/>
      <c r="ADK34" s="102"/>
      <c r="ADL34" s="103"/>
      <c r="ADM34" s="104"/>
      <c r="ADN34" s="102"/>
      <c r="ADO34" s="103"/>
      <c r="ADP34" s="104"/>
      <c r="ADQ34" s="102"/>
      <c r="ADR34" s="103"/>
      <c r="ADS34" s="104"/>
      <c r="ADT34" s="102"/>
      <c r="ADU34" s="103"/>
      <c r="ADV34" s="104"/>
      <c r="ADW34" s="102"/>
      <c r="ADX34" s="103"/>
      <c r="ADY34" s="104"/>
      <c r="ADZ34" s="102"/>
      <c r="AEA34" s="103"/>
      <c r="AEB34" s="104"/>
      <c r="AEC34" s="102"/>
      <c r="AED34" s="103"/>
      <c r="AEE34" s="104"/>
      <c r="AEF34" s="102"/>
      <c r="AEG34" s="105"/>
    </row>
    <row r="35" spans="2:813" ht="19.5" customHeight="1" x14ac:dyDescent="0.25">
      <c r="B35" s="190" t="str">
        <f>Donnees!$C$36</f>
        <v>TESTER : mise en commun des réalisations</v>
      </c>
      <c r="C35" s="106">
        <v>70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153"/>
      <c r="X35" s="154"/>
      <c r="Y35" s="155"/>
      <c r="Z35" s="153"/>
      <c r="AA35" s="154"/>
      <c r="AB35" s="98"/>
      <c r="AC35" s="96"/>
      <c r="AD35" s="97"/>
      <c r="AE35" s="98"/>
      <c r="AF35" s="153"/>
      <c r="AG35" s="154"/>
      <c r="AH35" s="155"/>
      <c r="AI35" s="153"/>
      <c r="AJ35" s="154"/>
      <c r="AK35" s="155"/>
      <c r="AL35" s="153"/>
      <c r="AM35" s="154"/>
      <c r="AN35" s="155"/>
      <c r="AO35" s="153"/>
      <c r="AP35" s="154"/>
      <c r="AQ35" s="155"/>
      <c r="AR35" s="153"/>
      <c r="AS35" s="154"/>
      <c r="AT35" s="155"/>
      <c r="AU35" s="153"/>
      <c r="AV35" s="154"/>
      <c r="AW35" s="98"/>
      <c r="AX35" s="96"/>
      <c r="AY35" s="97"/>
      <c r="AZ35" s="98"/>
      <c r="BA35" s="96"/>
      <c r="BB35" s="97"/>
      <c r="BC35" s="98"/>
      <c r="BD35" s="153"/>
      <c r="BE35" s="154"/>
      <c r="BF35" s="155"/>
      <c r="BG35" s="153"/>
      <c r="BH35" s="154"/>
      <c r="BI35" s="155"/>
      <c r="BJ35" s="153"/>
      <c r="BK35" s="154"/>
      <c r="BL35" s="155"/>
      <c r="BM35" s="153"/>
      <c r="BN35" s="154"/>
      <c r="BO35" s="98"/>
      <c r="BP35" s="153"/>
      <c r="BQ35" s="154"/>
      <c r="BR35" s="155"/>
      <c r="BS35" s="153"/>
      <c r="BT35" s="154"/>
      <c r="BU35" s="155"/>
      <c r="BV35" s="153"/>
      <c r="BW35" s="154"/>
      <c r="BX35" s="155"/>
      <c r="BY35" s="153"/>
      <c r="BZ35" s="154"/>
      <c r="CA35" s="155"/>
      <c r="CB35" s="153"/>
      <c r="CC35" s="154"/>
      <c r="CD35" s="155"/>
      <c r="CE35" s="153"/>
      <c r="CF35" s="154"/>
      <c r="CG35" s="155"/>
      <c r="CH35" s="153"/>
      <c r="CI35" s="154"/>
      <c r="CJ35" s="155"/>
      <c r="CK35" s="153"/>
      <c r="CL35" s="154"/>
      <c r="CM35" s="98"/>
      <c r="CN35" s="96"/>
      <c r="CO35" s="99"/>
      <c r="CP35" s="95"/>
      <c r="CQ35" s="96"/>
      <c r="CR35" s="97"/>
      <c r="CS35" s="98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9"/>
      <c r="GB35" s="95"/>
      <c r="GC35" s="96"/>
      <c r="GD35" s="97"/>
      <c r="GE35" s="98"/>
      <c r="GF35" s="96"/>
      <c r="GG35" s="97"/>
      <c r="GH35" s="98"/>
      <c r="GI35" s="96"/>
      <c r="GJ35" s="97"/>
      <c r="GK35" s="98"/>
      <c r="GL35" s="96"/>
      <c r="GM35" s="97"/>
      <c r="GN35" s="98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98"/>
      <c r="HJ35" s="96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154"/>
      <c r="JE35" s="155"/>
      <c r="JF35" s="153"/>
      <c r="JG35" s="154"/>
      <c r="JH35" s="155"/>
      <c r="JI35" s="153"/>
      <c r="JJ35" s="154"/>
      <c r="JK35" s="155"/>
      <c r="JL35" s="153"/>
      <c r="JM35" s="187"/>
      <c r="JN35" s="95"/>
      <c r="JO35" s="96"/>
      <c r="JP35" s="97"/>
      <c r="JQ35" s="98"/>
      <c r="JR35" s="96"/>
      <c r="JS35" s="154"/>
      <c r="JT35" s="155"/>
      <c r="JU35" s="153"/>
      <c r="JV35" s="154"/>
      <c r="JW35" s="98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9"/>
      <c r="MZ35" s="95"/>
      <c r="NA35" s="96"/>
      <c r="NB35" s="97"/>
      <c r="NC35" s="98"/>
      <c r="ND35" s="96"/>
      <c r="NE35" s="97"/>
      <c r="NF35" s="98"/>
      <c r="NG35" s="96"/>
      <c r="NH35" s="97"/>
      <c r="NI35" s="98"/>
      <c r="NJ35" s="96"/>
      <c r="NK35" s="97"/>
      <c r="NL35" s="98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97"/>
      <c r="OY35" s="98"/>
      <c r="OZ35" s="96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9"/>
      <c r="QL35" s="95"/>
      <c r="QM35" s="96"/>
      <c r="QN35" s="97"/>
      <c r="QO35" s="98"/>
      <c r="QP35" s="96"/>
      <c r="QQ35" s="97"/>
      <c r="QR35" s="98"/>
      <c r="QS35" s="96"/>
      <c r="QT35" s="97"/>
      <c r="QU35" s="98"/>
      <c r="QV35" s="96"/>
      <c r="QW35" s="97"/>
      <c r="QX35" s="98"/>
      <c r="QY35" s="96"/>
      <c r="QZ35" s="97"/>
      <c r="RA35" s="98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9"/>
      <c r="TX35" s="95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7"/>
      <c r="UP35" s="98"/>
      <c r="UQ35" s="96"/>
      <c r="UR35" s="97"/>
      <c r="US35" s="98"/>
      <c r="UT35" s="96"/>
      <c r="UU35" s="97"/>
      <c r="UV35" s="98"/>
      <c r="UW35" s="96"/>
      <c r="UX35" s="97"/>
      <c r="UY35" s="98"/>
      <c r="UZ35" s="96"/>
      <c r="VA35" s="97"/>
      <c r="VB35" s="98"/>
      <c r="VC35" s="96"/>
      <c r="VD35" s="97"/>
      <c r="VE35" s="98"/>
      <c r="VF35" s="96"/>
      <c r="VG35" s="97"/>
      <c r="VH35" s="98"/>
      <c r="VI35" s="96"/>
      <c r="VJ35" s="97"/>
      <c r="VK35" s="98"/>
      <c r="VL35" s="96"/>
      <c r="VM35" s="97"/>
      <c r="VN35" s="98"/>
      <c r="VO35" s="96"/>
      <c r="VP35" s="97"/>
      <c r="VQ35" s="98"/>
      <c r="VR35" s="96"/>
      <c r="VS35" s="97"/>
      <c r="VT35" s="98"/>
      <c r="VU35" s="96"/>
      <c r="VV35" s="97"/>
      <c r="VW35" s="98"/>
      <c r="VX35" s="96"/>
      <c r="VY35" s="97"/>
      <c r="VZ35" s="98"/>
      <c r="WA35" s="96"/>
      <c r="WB35" s="97"/>
      <c r="WC35" s="98"/>
      <c r="WD35" s="96"/>
      <c r="WE35" s="97"/>
      <c r="WF35" s="98"/>
      <c r="WG35" s="96"/>
      <c r="WH35" s="97"/>
      <c r="WI35" s="98"/>
      <c r="WJ35" s="96"/>
      <c r="WK35" s="97"/>
      <c r="WL35" s="98"/>
      <c r="WM35" s="96"/>
      <c r="WN35" s="97"/>
      <c r="WO35" s="98"/>
      <c r="WP35" s="96"/>
      <c r="WQ35" s="97"/>
      <c r="WR35" s="98"/>
      <c r="WS35" s="96"/>
      <c r="WT35" s="97"/>
      <c r="WU35" s="98"/>
      <c r="WV35" s="96"/>
      <c r="WW35" s="97"/>
      <c r="WX35" s="98"/>
      <c r="WY35" s="96"/>
      <c r="WZ35" s="97"/>
      <c r="XA35" s="98"/>
      <c r="XB35" s="96"/>
      <c r="XC35" s="97"/>
      <c r="XD35" s="98"/>
      <c r="XE35" s="96"/>
      <c r="XF35" s="97"/>
      <c r="XG35" s="98"/>
      <c r="XH35" s="96"/>
      <c r="XI35" s="99"/>
      <c r="XJ35" s="95"/>
      <c r="XK35" s="96"/>
      <c r="XL35" s="97"/>
      <c r="XM35" s="98"/>
      <c r="XN35" s="96"/>
      <c r="XO35" s="97"/>
      <c r="XP35" s="98"/>
      <c r="XQ35" s="96"/>
      <c r="XR35" s="97"/>
      <c r="XS35" s="98"/>
      <c r="XT35" s="96"/>
      <c r="XU35" s="97"/>
      <c r="XV35" s="98"/>
      <c r="XW35" s="96"/>
      <c r="XX35" s="97"/>
      <c r="XY35" s="98"/>
      <c r="XZ35" s="96"/>
      <c r="YA35" s="97"/>
      <c r="YB35" s="98"/>
      <c r="YC35" s="96"/>
      <c r="YD35" s="97"/>
      <c r="YE35" s="98"/>
      <c r="YF35" s="96"/>
      <c r="YG35" s="97"/>
      <c r="YH35" s="98"/>
      <c r="YI35" s="96"/>
      <c r="YJ35" s="97"/>
      <c r="YK35" s="98"/>
      <c r="YL35" s="96"/>
      <c r="YM35" s="97"/>
      <c r="YN35" s="98"/>
      <c r="YO35" s="96"/>
      <c r="YP35" s="97"/>
      <c r="YQ35" s="98"/>
      <c r="YR35" s="96"/>
      <c r="YS35" s="97"/>
      <c r="YT35" s="98"/>
      <c r="YU35" s="96"/>
      <c r="YV35" s="97"/>
      <c r="YW35" s="98"/>
      <c r="YX35" s="96"/>
      <c r="YY35" s="97"/>
      <c r="YZ35" s="98"/>
      <c r="ZA35" s="96"/>
      <c r="ZB35" s="97"/>
      <c r="ZC35" s="98"/>
      <c r="ZD35" s="96"/>
      <c r="ZE35" s="97"/>
      <c r="ZF35" s="98"/>
      <c r="ZG35" s="96"/>
      <c r="ZH35" s="97"/>
      <c r="ZI35" s="98"/>
      <c r="ZJ35" s="96"/>
      <c r="ZK35" s="97"/>
      <c r="ZL35" s="98"/>
      <c r="ZM35" s="96"/>
      <c r="ZN35" s="97"/>
      <c r="ZO35" s="98"/>
      <c r="ZP35" s="96"/>
      <c r="ZQ35" s="97"/>
      <c r="ZR35" s="98"/>
      <c r="ZS35" s="96"/>
      <c r="ZT35" s="97"/>
      <c r="ZU35" s="98"/>
      <c r="ZV35" s="96"/>
      <c r="ZW35" s="97"/>
      <c r="ZX35" s="98"/>
      <c r="ZY35" s="96"/>
      <c r="ZZ35" s="97"/>
      <c r="AAA35" s="98"/>
      <c r="AAB35" s="96"/>
      <c r="AAC35" s="97"/>
      <c r="AAD35" s="98"/>
      <c r="AAE35" s="96"/>
      <c r="AAF35" s="97"/>
      <c r="AAG35" s="98"/>
      <c r="AAH35" s="96"/>
      <c r="AAI35" s="97"/>
      <c r="AAJ35" s="98"/>
      <c r="AAK35" s="96"/>
      <c r="AAL35" s="97"/>
      <c r="AAM35" s="98"/>
      <c r="AAN35" s="96"/>
      <c r="AAO35" s="97"/>
      <c r="AAP35" s="98"/>
      <c r="AAQ35" s="96"/>
      <c r="AAR35" s="97"/>
      <c r="AAS35" s="98"/>
      <c r="AAT35" s="96"/>
      <c r="AAU35" s="99"/>
      <c r="AAV35" s="95"/>
      <c r="AAW35" s="96"/>
      <c r="AAX35" s="97"/>
      <c r="AAY35" s="98"/>
      <c r="AAZ35" s="96"/>
      <c r="ABA35" s="97"/>
      <c r="ABB35" s="98"/>
      <c r="ABC35" s="96"/>
      <c r="ABD35" s="97"/>
      <c r="ABE35" s="98"/>
      <c r="ABF35" s="96"/>
      <c r="ABG35" s="97"/>
      <c r="ABH35" s="98"/>
      <c r="ABI35" s="96"/>
      <c r="ABJ35" s="97"/>
      <c r="ABK35" s="98"/>
      <c r="ABL35" s="96"/>
      <c r="ABM35" s="97"/>
      <c r="ABN35" s="98"/>
      <c r="ABO35" s="96"/>
      <c r="ABP35" s="97"/>
      <c r="ABQ35" s="98"/>
      <c r="ABR35" s="96"/>
      <c r="ABS35" s="97"/>
      <c r="ABT35" s="98"/>
      <c r="ABU35" s="96"/>
      <c r="ABV35" s="97"/>
      <c r="ABW35" s="98"/>
      <c r="ABX35" s="96"/>
      <c r="ABY35" s="97"/>
      <c r="ABZ35" s="98"/>
      <c r="ACA35" s="96"/>
      <c r="ACB35" s="97"/>
      <c r="ACC35" s="98"/>
      <c r="ACD35" s="96"/>
      <c r="ACE35" s="97"/>
      <c r="ACF35" s="98"/>
      <c r="ACG35" s="96"/>
      <c r="ACH35" s="97"/>
      <c r="ACI35" s="98"/>
      <c r="ACJ35" s="96"/>
      <c r="ACK35" s="97"/>
      <c r="ACL35" s="98"/>
      <c r="ACM35" s="96"/>
      <c r="ACN35" s="97"/>
      <c r="ACO35" s="98"/>
      <c r="ACP35" s="96"/>
      <c r="ACQ35" s="97"/>
      <c r="ACR35" s="98"/>
      <c r="ACS35" s="96"/>
      <c r="ACT35" s="97"/>
      <c r="ACU35" s="98"/>
      <c r="ACV35" s="96"/>
      <c r="ACW35" s="97"/>
      <c r="ACX35" s="98"/>
      <c r="ACY35" s="96"/>
      <c r="ACZ35" s="97"/>
      <c r="ADA35" s="98"/>
      <c r="ADB35" s="96"/>
      <c r="ADC35" s="97"/>
      <c r="ADD35" s="98"/>
      <c r="ADE35" s="96"/>
      <c r="ADF35" s="97"/>
      <c r="ADG35" s="98"/>
      <c r="ADH35" s="96"/>
      <c r="ADI35" s="97"/>
      <c r="ADJ35" s="98"/>
      <c r="ADK35" s="96"/>
      <c r="ADL35" s="97"/>
      <c r="ADM35" s="98"/>
      <c r="ADN35" s="96"/>
      <c r="ADO35" s="97"/>
      <c r="ADP35" s="98"/>
      <c r="ADQ35" s="96"/>
      <c r="ADR35" s="97"/>
      <c r="ADS35" s="98"/>
      <c r="ADT35" s="96"/>
      <c r="ADU35" s="97"/>
      <c r="ADV35" s="98"/>
      <c r="ADW35" s="96"/>
      <c r="ADX35" s="97"/>
      <c r="ADY35" s="98"/>
      <c r="ADZ35" s="96"/>
      <c r="AEA35" s="97"/>
      <c r="AEB35" s="98"/>
      <c r="AEC35" s="96"/>
      <c r="AED35" s="97"/>
      <c r="AEE35" s="98"/>
      <c r="AEF35" s="96"/>
      <c r="AEG35" s="99"/>
    </row>
    <row r="36" spans="2:813" ht="19.5" customHeight="1" thickBot="1" x14ac:dyDescent="0.3">
      <c r="B36" s="191"/>
      <c r="C36" s="107">
        <v>18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49"/>
      <c r="X36" s="150"/>
      <c r="Y36" s="151"/>
      <c r="Z36" s="149"/>
      <c r="AA36" s="150"/>
      <c r="AB36" s="104"/>
      <c r="AC36" s="102"/>
      <c r="AD36" s="103"/>
      <c r="AE36" s="104"/>
      <c r="AF36" s="149"/>
      <c r="AG36" s="150"/>
      <c r="AH36" s="151"/>
      <c r="AI36" s="149"/>
      <c r="AJ36" s="150"/>
      <c r="AK36" s="151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51"/>
      <c r="BJ36" s="149"/>
      <c r="BK36" s="103"/>
      <c r="BL36" s="151"/>
      <c r="BM36" s="149"/>
      <c r="BN36" s="150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49"/>
      <c r="CC36" s="150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5"/>
      <c r="CP36" s="101"/>
      <c r="CQ36" s="102"/>
      <c r="CR36" s="103"/>
      <c r="CS36" s="104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5"/>
      <c r="GB36" s="101"/>
      <c r="GC36" s="102"/>
      <c r="GD36" s="103"/>
      <c r="GE36" s="104"/>
      <c r="GF36" s="102"/>
      <c r="GG36" s="103"/>
      <c r="GH36" s="104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5"/>
      <c r="JN36" s="101"/>
      <c r="JO36" s="102"/>
      <c r="JP36" s="103"/>
      <c r="JQ36" s="104"/>
      <c r="JR36" s="102"/>
      <c r="JS36" s="103"/>
      <c r="JT36" s="104"/>
      <c r="JU36" s="102"/>
      <c r="JV36" s="103"/>
      <c r="JW36" s="104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5"/>
      <c r="MZ36" s="101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3"/>
      <c r="NL36" s="104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5"/>
      <c r="QL36" s="101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3"/>
      <c r="RA36" s="104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5"/>
      <c r="TX36" s="101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3"/>
      <c r="UP36" s="104"/>
      <c r="UQ36" s="102"/>
      <c r="UR36" s="103"/>
      <c r="US36" s="104"/>
      <c r="UT36" s="102"/>
      <c r="UU36" s="103"/>
      <c r="UV36" s="104"/>
      <c r="UW36" s="102"/>
      <c r="UX36" s="103"/>
      <c r="UY36" s="104"/>
      <c r="UZ36" s="102"/>
      <c r="VA36" s="103"/>
      <c r="VB36" s="104"/>
      <c r="VC36" s="102"/>
      <c r="VD36" s="103"/>
      <c r="VE36" s="104"/>
      <c r="VF36" s="102"/>
      <c r="VG36" s="103"/>
      <c r="VH36" s="104"/>
      <c r="VI36" s="102"/>
      <c r="VJ36" s="103"/>
      <c r="VK36" s="104"/>
      <c r="VL36" s="102"/>
      <c r="VM36" s="103"/>
      <c r="VN36" s="104"/>
      <c r="VO36" s="102"/>
      <c r="VP36" s="103"/>
      <c r="VQ36" s="104"/>
      <c r="VR36" s="102"/>
      <c r="VS36" s="103"/>
      <c r="VT36" s="104"/>
      <c r="VU36" s="102"/>
      <c r="VV36" s="103"/>
      <c r="VW36" s="104"/>
      <c r="VX36" s="102"/>
      <c r="VY36" s="103"/>
      <c r="VZ36" s="104"/>
      <c r="WA36" s="102"/>
      <c r="WB36" s="103"/>
      <c r="WC36" s="104"/>
      <c r="WD36" s="102"/>
      <c r="WE36" s="103"/>
      <c r="WF36" s="104"/>
      <c r="WG36" s="102"/>
      <c r="WH36" s="103"/>
      <c r="WI36" s="104"/>
      <c r="WJ36" s="102"/>
      <c r="WK36" s="103"/>
      <c r="WL36" s="104"/>
      <c r="WM36" s="102"/>
      <c r="WN36" s="103"/>
      <c r="WO36" s="104"/>
      <c r="WP36" s="102"/>
      <c r="WQ36" s="103"/>
      <c r="WR36" s="104"/>
      <c r="WS36" s="102"/>
      <c r="WT36" s="103"/>
      <c r="WU36" s="104"/>
      <c r="WV36" s="102"/>
      <c r="WW36" s="103"/>
      <c r="WX36" s="104"/>
      <c r="WY36" s="102"/>
      <c r="WZ36" s="103"/>
      <c r="XA36" s="104"/>
      <c r="XB36" s="102"/>
      <c r="XC36" s="103"/>
      <c r="XD36" s="104"/>
      <c r="XE36" s="102"/>
      <c r="XF36" s="103"/>
      <c r="XG36" s="104"/>
      <c r="XH36" s="102"/>
      <c r="XI36" s="105"/>
      <c r="XJ36" s="101"/>
      <c r="XK36" s="102"/>
      <c r="XL36" s="103"/>
      <c r="XM36" s="104"/>
      <c r="XN36" s="102"/>
      <c r="XO36" s="103"/>
      <c r="XP36" s="104"/>
      <c r="XQ36" s="102"/>
      <c r="XR36" s="103"/>
      <c r="XS36" s="104"/>
      <c r="XT36" s="102"/>
      <c r="XU36" s="103"/>
      <c r="XV36" s="104"/>
      <c r="XW36" s="102"/>
      <c r="XX36" s="103"/>
      <c r="XY36" s="104"/>
      <c r="XZ36" s="102"/>
      <c r="YA36" s="103"/>
      <c r="YB36" s="104"/>
      <c r="YC36" s="102"/>
      <c r="YD36" s="103"/>
      <c r="YE36" s="104"/>
      <c r="YF36" s="102"/>
      <c r="YG36" s="103"/>
      <c r="YH36" s="104"/>
      <c r="YI36" s="102"/>
      <c r="YJ36" s="103"/>
      <c r="YK36" s="104"/>
      <c r="YL36" s="102"/>
      <c r="YM36" s="103"/>
      <c r="YN36" s="104"/>
      <c r="YO36" s="102"/>
      <c r="YP36" s="103"/>
      <c r="YQ36" s="104"/>
      <c r="YR36" s="102"/>
      <c r="YS36" s="103"/>
      <c r="YT36" s="104"/>
      <c r="YU36" s="102"/>
      <c r="YV36" s="103"/>
      <c r="YW36" s="104"/>
      <c r="YX36" s="102"/>
      <c r="YY36" s="103"/>
      <c r="YZ36" s="104"/>
      <c r="ZA36" s="102"/>
      <c r="ZB36" s="103"/>
      <c r="ZC36" s="104"/>
      <c r="ZD36" s="102"/>
      <c r="ZE36" s="103"/>
      <c r="ZF36" s="104"/>
      <c r="ZG36" s="102"/>
      <c r="ZH36" s="103"/>
      <c r="ZI36" s="104"/>
      <c r="ZJ36" s="102"/>
      <c r="ZK36" s="103"/>
      <c r="ZL36" s="104"/>
      <c r="ZM36" s="102"/>
      <c r="ZN36" s="103"/>
      <c r="ZO36" s="104"/>
      <c r="ZP36" s="102"/>
      <c r="ZQ36" s="103"/>
      <c r="ZR36" s="104"/>
      <c r="ZS36" s="102"/>
      <c r="ZT36" s="103"/>
      <c r="ZU36" s="104"/>
      <c r="ZV36" s="102"/>
      <c r="ZW36" s="103"/>
      <c r="ZX36" s="104"/>
      <c r="ZY36" s="102"/>
      <c r="ZZ36" s="103"/>
      <c r="AAA36" s="104"/>
      <c r="AAB36" s="102"/>
      <c r="AAC36" s="103"/>
      <c r="AAD36" s="104"/>
      <c r="AAE36" s="102"/>
      <c r="AAF36" s="103"/>
      <c r="AAG36" s="104"/>
      <c r="AAH36" s="102"/>
      <c r="AAI36" s="103"/>
      <c r="AAJ36" s="104"/>
      <c r="AAK36" s="102"/>
      <c r="AAL36" s="103"/>
      <c r="AAM36" s="104"/>
      <c r="AAN36" s="102"/>
      <c r="AAO36" s="103"/>
      <c r="AAP36" s="104"/>
      <c r="AAQ36" s="102"/>
      <c r="AAR36" s="103"/>
      <c r="AAS36" s="104"/>
      <c r="AAT36" s="102"/>
      <c r="AAU36" s="105"/>
      <c r="AAV36" s="101"/>
      <c r="AAW36" s="102"/>
      <c r="AAX36" s="103"/>
      <c r="AAY36" s="104"/>
      <c r="AAZ36" s="102"/>
      <c r="ABA36" s="103"/>
      <c r="ABB36" s="104"/>
      <c r="ABC36" s="102"/>
      <c r="ABD36" s="103"/>
      <c r="ABE36" s="104"/>
      <c r="ABF36" s="102"/>
      <c r="ABG36" s="103"/>
      <c r="ABH36" s="104"/>
      <c r="ABI36" s="102"/>
      <c r="ABJ36" s="103"/>
      <c r="ABK36" s="104"/>
      <c r="ABL36" s="102"/>
      <c r="ABM36" s="103"/>
      <c r="ABN36" s="104"/>
      <c r="ABO36" s="102"/>
      <c r="ABP36" s="103"/>
      <c r="ABQ36" s="104"/>
      <c r="ABR36" s="102"/>
      <c r="ABS36" s="103"/>
      <c r="ABT36" s="104"/>
      <c r="ABU36" s="102"/>
      <c r="ABV36" s="103"/>
      <c r="ABW36" s="104"/>
      <c r="ABX36" s="102"/>
      <c r="ABY36" s="103"/>
      <c r="ABZ36" s="104"/>
      <c r="ACA36" s="102"/>
      <c r="ACB36" s="103"/>
      <c r="ACC36" s="104"/>
      <c r="ACD36" s="102"/>
      <c r="ACE36" s="103"/>
      <c r="ACF36" s="104"/>
      <c r="ACG36" s="102"/>
      <c r="ACH36" s="103"/>
      <c r="ACI36" s="104"/>
      <c r="ACJ36" s="102"/>
      <c r="ACK36" s="103"/>
      <c r="ACL36" s="104"/>
      <c r="ACM36" s="102"/>
      <c r="ACN36" s="103"/>
      <c r="ACO36" s="104"/>
      <c r="ACP36" s="102"/>
      <c r="ACQ36" s="103"/>
      <c r="ACR36" s="104"/>
      <c r="ACS36" s="102"/>
      <c r="ACT36" s="103"/>
      <c r="ACU36" s="104"/>
      <c r="ACV36" s="102"/>
      <c r="ACW36" s="103"/>
      <c r="ACX36" s="104"/>
      <c r="ACY36" s="102"/>
      <c r="ACZ36" s="103"/>
      <c r="ADA36" s="104"/>
      <c r="ADB36" s="102"/>
      <c r="ADC36" s="103"/>
      <c r="ADD36" s="104"/>
      <c r="ADE36" s="102"/>
      <c r="ADF36" s="103"/>
      <c r="ADG36" s="104"/>
      <c r="ADH36" s="102"/>
      <c r="ADI36" s="103"/>
      <c r="ADJ36" s="104"/>
      <c r="ADK36" s="102"/>
      <c r="ADL36" s="103"/>
      <c r="ADM36" s="104"/>
      <c r="ADN36" s="102"/>
      <c r="ADO36" s="103"/>
      <c r="ADP36" s="104"/>
      <c r="ADQ36" s="102"/>
      <c r="ADR36" s="103"/>
      <c r="ADS36" s="104"/>
      <c r="ADT36" s="102"/>
      <c r="ADU36" s="103"/>
      <c r="ADV36" s="104"/>
      <c r="ADW36" s="102"/>
      <c r="ADX36" s="103"/>
      <c r="ADY36" s="104"/>
      <c r="ADZ36" s="102"/>
      <c r="AEA36" s="103"/>
      <c r="AEB36" s="104"/>
      <c r="AEC36" s="102"/>
      <c r="AED36" s="103"/>
      <c r="AEE36" s="104"/>
      <c r="AEF36" s="102"/>
      <c r="AEG36" s="105"/>
    </row>
    <row r="37" spans="2:813" ht="19.5" customHeight="1" x14ac:dyDescent="0.25">
      <c r="B37" s="190" t="str">
        <f>Donnees!$C$37</f>
        <v>EVALUER : voir cahier des charges</v>
      </c>
      <c r="C37" s="106">
        <v>8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9"/>
      <c r="CP37" s="95"/>
      <c r="CQ37" s="96"/>
      <c r="CR37" s="97"/>
      <c r="CS37" s="98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9"/>
      <c r="GB37" s="95"/>
      <c r="GC37" s="96"/>
      <c r="GD37" s="97"/>
      <c r="GE37" s="98"/>
      <c r="GF37" s="96"/>
      <c r="GG37" s="97"/>
      <c r="GH37" s="98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9"/>
      <c r="JN37" s="95"/>
      <c r="JO37" s="96"/>
      <c r="JP37" s="97"/>
      <c r="JQ37" s="98"/>
      <c r="JR37" s="96"/>
      <c r="JS37" s="97"/>
      <c r="JT37" s="98"/>
      <c r="JU37" s="96"/>
      <c r="JV37" s="97"/>
      <c r="JW37" s="155"/>
      <c r="JX37" s="153"/>
      <c r="JY37" s="154"/>
      <c r="JZ37" s="155"/>
      <c r="KA37" s="153"/>
      <c r="KB37" s="154"/>
      <c r="KC37" s="155"/>
      <c r="KD37" s="153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9"/>
      <c r="MZ37" s="95"/>
      <c r="NA37" s="96"/>
      <c r="NB37" s="97"/>
      <c r="NC37" s="98"/>
      <c r="ND37" s="96"/>
      <c r="NE37" s="97"/>
      <c r="NF37" s="98"/>
      <c r="NG37" s="96"/>
      <c r="NH37" s="97"/>
      <c r="NI37" s="98"/>
      <c r="NJ37" s="96"/>
      <c r="NK37" s="97"/>
      <c r="NL37" s="98"/>
      <c r="NM37" s="96"/>
      <c r="NN37" s="97"/>
      <c r="NO37" s="98"/>
      <c r="NP37" s="96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97"/>
      <c r="PB37" s="98"/>
      <c r="PC37" s="96"/>
      <c r="PD37" s="97"/>
      <c r="PE37" s="98"/>
      <c r="PF37" s="96"/>
      <c r="PG37" s="97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9"/>
      <c r="QL37" s="95"/>
      <c r="QM37" s="96"/>
      <c r="QN37" s="97"/>
      <c r="QO37" s="98"/>
      <c r="QP37" s="96"/>
      <c r="QQ37" s="97"/>
      <c r="QR37" s="98"/>
      <c r="QS37" s="96"/>
      <c r="QT37" s="97"/>
      <c r="QU37" s="98"/>
      <c r="QV37" s="96"/>
      <c r="QW37" s="97"/>
      <c r="QX37" s="98"/>
      <c r="QY37" s="96"/>
      <c r="QZ37" s="97"/>
      <c r="RA37" s="98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9"/>
      <c r="TX37" s="95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7"/>
      <c r="UP37" s="98"/>
      <c r="UQ37" s="96"/>
      <c r="UR37" s="97"/>
      <c r="US37" s="98"/>
      <c r="UT37" s="96"/>
      <c r="UU37" s="97"/>
      <c r="UV37" s="98"/>
      <c r="UW37" s="96"/>
      <c r="UX37" s="97"/>
      <c r="UY37" s="98"/>
      <c r="UZ37" s="96"/>
      <c r="VA37" s="97"/>
      <c r="VB37" s="98"/>
      <c r="VC37" s="96"/>
      <c r="VD37" s="97"/>
      <c r="VE37" s="98"/>
      <c r="VF37" s="96"/>
      <c r="VG37" s="97"/>
      <c r="VH37" s="98"/>
      <c r="VI37" s="96"/>
      <c r="VJ37" s="97"/>
      <c r="VK37" s="98"/>
      <c r="VL37" s="96"/>
      <c r="VM37" s="97"/>
      <c r="VN37" s="98"/>
      <c r="VO37" s="96"/>
      <c r="VP37" s="97"/>
      <c r="VQ37" s="98"/>
      <c r="VR37" s="96"/>
      <c r="VS37" s="97"/>
      <c r="VT37" s="98"/>
      <c r="VU37" s="96"/>
      <c r="VV37" s="97"/>
      <c r="VW37" s="98"/>
      <c r="VX37" s="96"/>
      <c r="VY37" s="97"/>
      <c r="VZ37" s="98"/>
      <c r="WA37" s="96"/>
      <c r="WB37" s="97"/>
      <c r="WC37" s="98"/>
      <c r="WD37" s="96"/>
      <c r="WE37" s="97"/>
      <c r="WF37" s="98"/>
      <c r="WG37" s="96"/>
      <c r="WH37" s="97"/>
      <c r="WI37" s="98"/>
      <c r="WJ37" s="96"/>
      <c r="WK37" s="97"/>
      <c r="WL37" s="98"/>
      <c r="WM37" s="96"/>
      <c r="WN37" s="97"/>
      <c r="WO37" s="98"/>
      <c r="WP37" s="96"/>
      <c r="WQ37" s="97"/>
      <c r="WR37" s="98"/>
      <c r="WS37" s="96"/>
      <c r="WT37" s="97"/>
      <c r="WU37" s="98"/>
      <c r="WV37" s="96"/>
      <c r="WW37" s="97"/>
      <c r="WX37" s="98"/>
      <c r="WY37" s="96"/>
      <c r="WZ37" s="97"/>
      <c r="XA37" s="98"/>
      <c r="XB37" s="96"/>
      <c r="XC37" s="97"/>
      <c r="XD37" s="98"/>
      <c r="XE37" s="96"/>
      <c r="XF37" s="97"/>
      <c r="XG37" s="98"/>
      <c r="XH37" s="96"/>
      <c r="XI37" s="99"/>
      <c r="XJ37" s="95"/>
      <c r="XK37" s="96"/>
      <c r="XL37" s="97"/>
      <c r="XM37" s="98"/>
      <c r="XN37" s="96"/>
      <c r="XO37" s="97"/>
      <c r="XP37" s="98"/>
      <c r="XQ37" s="96"/>
      <c r="XR37" s="97"/>
      <c r="XS37" s="98"/>
      <c r="XT37" s="96"/>
      <c r="XU37" s="97"/>
      <c r="XV37" s="98"/>
      <c r="XW37" s="96"/>
      <c r="XX37" s="97"/>
      <c r="XY37" s="98"/>
      <c r="XZ37" s="96"/>
      <c r="YA37" s="97"/>
      <c r="YB37" s="98"/>
      <c r="YC37" s="96"/>
      <c r="YD37" s="97"/>
      <c r="YE37" s="98"/>
      <c r="YF37" s="96"/>
      <c r="YG37" s="97"/>
      <c r="YH37" s="98"/>
      <c r="YI37" s="96"/>
      <c r="YJ37" s="97"/>
      <c r="YK37" s="98"/>
      <c r="YL37" s="96"/>
      <c r="YM37" s="97"/>
      <c r="YN37" s="98"/>
      <c r="YO37" s="96"/>
      <c r="YP37" s="97"/>
      <c r="YQ37" s="98"/>
      <c r="YR37" s="96"/>
      <c r="YS37" s="97"/>
      <c r="YT37" s="98"/>
      <c r="YU37" s="96"/>
      <c r="YV37" s="97"/>
      <c r="YW37" s="98"/>
      <c r="YX37" s="96"/>
      <c r="YY37" s="97"/>
      <c r="YZ37" s="98"/>
      <c r="ZA37" s="96"/>
      <c r="ZB37" s="97"/>
      <c r="ZC37" s="98"/>
      <c r="ZD37" s="96"/>
      <c r="ZE37" s="97"/>
      <c r="ZF37" s="98"/>
      <c r="ZG37" s="96"/>
      <c r="ZH37" s="97"/>
      <c r="ZI37" s="98"/>
      <c r="ZJ37" s="96"/>
      <c r="ZK37" s="97"/>
      <c r="ZL37" s="98"/>
      <c r="ZM37" s="96"/>
      <c r="ZN37" s="97"/>
      <c r="ZO37" s="98"/>
      <c r="ZP37" s="96"/>
      <c r="ZQ37" s="97"/>
      <c r="ZR37" s="98"/>
      <c r="ZS37" s="96"/>
      <c r="ZT37" s="97"/>
      <c r="ZU37" s="98"/>
      <c r="ZV37" s="96"/>
      <c r="ZW37" s="97"/>
      <c r="ZX37" s="98"/>
      <c r="ZY37" s="96"/>
      <c r="ZZ37" s="97"/>
      <c r="AAA37" s="98"/>
      <c r="AAB37" s="96"/>
      <c r="AAC37" s="97"/>
      <c r="AAD37" s="98"/>
      <c r="AAE37" s="96"/>
      <c r="AAF37" s="97"/>
      <c r="AAG37" s="98"/>
      <c r="AAH37" s="96"/>
      <c r="AAI37" s="97"/>
      <c r="AAJ37" s="98"/>
      <c r="AAK37" s="96"/>
      <c r="AAL37" s="97"/>
      <c r="AAM37" s="98"/>
      <c r="AAN37" s="96"/>
      <c r="AAO37" s="97"/>
      <c r="AAP37" s="98"/>
      <c r="AAQ37" s="96"/>
      <c r="AAR37" s="97"/>
      <c r="AAS37" s="98"/>
      <c r="AAT37" s="96"/>
      <c r="AAU37" s="99"/>
      <c r="AAV37" s="95"/>
      <c r="AAW37" s="96"/>
      <c r="AAX37" s="97"/>
      <c r="AAY37" s="98"/>
      <c r="AAZ37" s="96"/>
      <c r="ABA37" s="97"/>
      <c r="ABB37" s="98"/>
      <c r="ABC37" s="96"/>
      <c r="ABD37" s="97"/>
      <c r="ABE37" s="98"/>
      <c r="ABF37" s="96"/>
      <c r="ABG37" s="97"/>
      <c r="ABH37" s="98"/>
      <c r="ABI37" s="96"/>
      <c r="ABJ37" s="97"/>
      <c r="ABK37" s="98"/>
      <c r="ABL37" s="96"/>
      <c r="ABM37" s="97"/>
      <c r="ABN37" s="98"/>
      <c r="ABO37" s="96"/>
      <c r="ABP37" s="97"/>
      <c r="ABQ37" s="98"/>
      <c r="ABR37" s="96"/>
      <c r="ABS37" s="97"/>
      <c r="ABT37" s="98"/>
      <c r="ABU37" s="96"/>
      <c r="ABV37" s="97"/>
      <c r="ABW37" s="98"/>
      <c r="ABX37" s="96"/>
      <c r="ABY37" s="97"/>
      <c r="ABZ37" s="98"/>
      <c r="ACA37" s="96"/>
      <c r="ACB37" s="97"/>
      <c r="ACC37" s="98"/>
      <c r="ACD37" s="96"/>
      <c r="ACE37" s="97"/>
      <c r="ACF37" s="98"/>
      <c r="ACG37" s="96"/>
      <c r="ACH37" s="97"/>
      <c r="ACI37" s="98"/>
      <c r="ACJ37" s="96"/>
      <c r="ACK37" s="97"/>
      <c r="ACL37" s="98"/>
      <c r="ACM37" s="96"/>
      <c r="ACN37" s="97"/>
      <c r="ACO37" s="98"/>
      <c r="ACP37" s="96"/>
      <c r="ACQ37" s="97"/>
      <c r="ACR37" s="98"/>
      <c r="ACS37" s="96"/>
      <c r="ACT37" s="97"/>
      <c r="ACU37" s="98"/>
      <c r="ACV37" s="96"/>
      <c r="ACW37" s="97"/>
      <c r="ACX37" s="98"/>
      <c r="ACY37" s="96"/>
      <c r="ACZ37" s="97"/>
      <c r="ADA37" s="98"/>
      <c r="ADB37" s="96"/>
      <c r="ADC37" s="97"/>
      <c r="ADD37" s="98"/>
      <c r="ADE37" s="96"/>
      <c r="ADF37" s="97"/>
      <c r="ADG37" s="98"/>
      <c r="ADH37" s="96"/>
      <c r="ADI37" s="97"/>
      <c r="ADJ37" s="98"/>
      <c r="ADK37" s="96"/>
      <c r="ADL37" s="97"/>
      <c r="ADM37" s="98"/>
      <c r="ADN37" s="96"/>
      <c r="ADO37" s="97"/>
      <c r="ADP37" s="98"/>
      <c r="ADQ37" s="96"/>
      <c r="ADR37" s="97"/>
      <c r="ADS37" s="98"/>
      <c r="ADT37" s="96"/>
      <c r="ADU37" s="97"/>
      <c r="ADV37" s="98"/>
      <c r="ADW37" s="96"/>
      <c r="ADX37" s="97"/>
      <c r="ADY37" s="98"/>
      <c r="ADZ37" s="96"/>
      <c r="AEA37" s="97"/>
      <c r="AEB37" s="98"/>
      <c r="AEC37" s="96"/>
      <c r="AED37" s="97"/>
      <c r="AEE37" s="98"/>
      <c r="AEF37" s="96"/>
      <c r="AEG37" s="99"/>
    </row>
    <row r="38" spans="2:813" ht="19.5" customHeight="1" thickBot="1" x14ac:dyDescent="0.3">
      <c r="B38" s="191"/>
      <c r="C38" s="107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5"/>
      <c r="CP38" s="101"/>
      <c r="CQ38" s="102"/>
      <c r="CR38" s="103"/>
      <c r="CS38" s="104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5"/>
      <c r="GB38" s="101"/>
      <c r="GC38" s="102"/>
      <c r="GD38" s="103"/>
      <c r="GE38" s="104"/>
      <c r="GF38" s="102"/>
      <c r="GG38" s="103"/>
      <c r="GH38" s="104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5"/>
      <c r="JN38" s="101"/>
      <c r="JO38" s="102"/>
      <c r="JP38" s="103"/>
      <c r="JQ38" s="104"/>
      <c r="JR38" s="102"/>
      <c r="JS38" s="103"/>
      <c r="JT38" s="104"/>
      <c r="JU38" s="102"/>
      <c r="JV38" s="103"/>
      <c r="JW38" s="104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5"/>
      <c r="MZ38" s="101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3"/>
      <c r="NL38" s="104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5"/>
      <c r="QL38" s="101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3"/>
      <c r="RA38" s="104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5"/>
      <c r="TX38" s="101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3"/>
      <c r="UP38" s="104"/>
      <c r="UQ38" s="102"/>
      <c r="UR38" s="103"/>
      <c r="US38" s="104"/>
      <c r="UT38" s="102"/>
      <c r="UU38" s="103"/>
      <c r="UV38" s="104"/>
      <c r="UW38" s="102"/>
      <c r="UX38" s="103"/>
      <c r="UY38" s="104"/>
      <c r="UZ38" s="102"/>
      <c r="VA38" s="103"/>
      <c r="VB38" s="104"/>
      <c r="VC38" s="102"/>
      <c r="VD38" s="103"/>
      <c r="VE38" s="104"/>
      <c r="VF38" s="102"/>
      <c r="VG38" s="103"/>
      <c r="VH38" s="104"/>
      <c r="VI38" s="102"/>
      <c r="VJ38" s="103"/>
      <c r="VK38" s="104"/>
      <c r="VL38" s="102"/>
      <c r="VM38" s="103"/>
      <c r="VN38" s="104"/>
      <c r="VO38" s="102"/>
      <c r="VP38" s="103"/>
      <c r="VQ38" s="104"/>
      <c r="VR38" s="102"/>
      <c r="VS38" s="103"/>
      <c r="VT38" s="104"/>
      <c r="VU38" s="102"/>
      <c r="VV38" s="103"/>
      <c r="VW38" s="104"/>
      <c r="VX38" s="102"/>
      <c r="VY38" s="103"/>
      <c r="VZ38" s="104"/>
      <c r="WA38" s="102"/>
      <c r="WB38" s="103"/>
      <c r="WC38" s="104"/>
      <c r="WD38" s="102"/>
      <c r="WE38" s="103"/>
      <c r="WF38" s="104"/>
      <c r="WG38" s="102"/>
      <c r="WH38" s="103"/>
      <c r="WI38" s="104"/>
      <c r="WJ38" s="102"/>
      <c r="WK38" s="103"/>
      <c r="WL38" s="104"/>
      <c r="WM38" s="102"/>
      <c r="WN38" s="103"/>
      <c r="WO38" s="104"/>
      <c r="WP38" s="102"/>
      <c r="WQ38" s="103"/>
      <c r="WR38" s="104"/>
      <c r="WS38" s="102"/>
      <c r="WT38" s="103"/>
      <c r="WU38" s="104"/>
      <c r="WV38" s="102"/>
      <c r="WW38" s="103"/>
      <c r="WX38" s="104"/>
      <c r="WY38" s="102"/>
      <c r="WZ38" s="103"/>
      <c r="XA38" s="104"/>
      <c r="XB38" s="102"/>
      <c r="XC38" s="103"/>
      <c r="XD38" s="104"/>
      <c r="XE38" s="102"/>
      <c r="XF38" s="103"/>
      <c r="XG38" s="104"/>
      <c r="XH38" s="102"/>
      <c r="XI38" s="105"/>
      <c r="XJ38" s="101"/>
      <c r="XK38" s="102"/>
      <c r="XL38" s="103"/>
      <c r="XM38" s="104"/>
      <c r="XN38" s="102"/>
      <c r="XO38" s="103"/>
      <c r="XP38" s="104"/>
      <c r="XQ38" s="102"/>
      <c r="XR38" s="103"/>
      <c r="XS38" s="104"/>
      <c r="XT38" s="102"/>
      <c r="XU38" s="103"/>
      <c r="XV38" s="104"/>
      <c r="XW38" s="102"/>
      <c r="XX38" s="103"/>
      <c r="XY38" s="104"/>
      <c r="XZ38" s="102"/>
      <c r="YA38" s="103"/>
      <c r="YB38" s="104"/>
      <c r="YC38" s="102"/>
      <c r="YD38" s="103"/>
      <c r="YE38" s="104"/>
      <c r="YF38" s="102"/>
      <c r="YG38" s="103"/>
      <c r="YH38" s="104"/>
      <c r="YI38" s="102"/>
      <c r="YJ38" s="103"/>
      <c r="YK38" s="104"/>
      <c r="YL38" s="102"/>
      <c r="YM38" s="103"/>
      <c r="YN38" s="104"/>
      <c r="YO38" s="102"/>
      <c r="YP38" s="103"/>
      <c r="YQ38" s="104"/>
      <c r="YR38" s="102"/>
      <c r="YS38" s="103"/>
      <c r="YT38" s="104"/>
      <c r="YU38" s="102"/>
      <c r="YV38" s="103"/>
      <c r="YW38" s="104"/>
      <c r="YX38" s="102"/>
      <c r="YY38" s="103"/>
      <c r="YZ38" s="104"/>
      <c r="ZA38" s="102"/>
      <c r="ZB38" s="103"/>
      <c r="ZC38" s="104"/>
      <c r="ZD38" s="102"/>
      <c r="ZE38" s="103"/>
      <c r="ZF38" s="104"/>
      <c r="ZG38" s="102"/>
      <c r="ZH38" s="103"/>
      <c r="ZI38" s="104"/>
      <c r="ZJ38" s="102"/>
      <c r="ZK38" s="103"/>
      <c r="ZL38" s="104"/>
      <c r="ZM38" s="102"/>
      <c r="ZN38" s="103"/>
      <c r="ZO38" s="104"/>
      <c r="ZP38" s="102"/>
      <c r="ZQ38" s="103"/>
      <c r="ZR38" s="104"/>
      <c r="ZS38" s="102"/>
      <c r="ZT38" s="103"/>
      <c r="ZU38" s="104"/>
      <c r="ZV38" s="102"/>
      <c r="ZW38" s="103"/>
      <c r="ZX38" s="104"/>
      <c r="ZY38" s="102"/>
      <c r="ZZ38" s="103"/>
      <c r="AAA38" s="104"/>
      <c r="AAB38" s="102"/>
      <c r="AAC38" s="103"/>
      <c r="AAD38" s="104"/>
      <c r="AAE38" s="102"/>
      <c r="AAF38" s="103"/>
      <c r="AAG38" s="104"/>
      <c r="AAH38" s="102"/>
      <c r="AAI38" s="103"/>
      <c r="AAJ38" s="104"/>
      <c r="AAK38" s="102"/>
      <c r="AAL38" s="103"/>
      <c r="AAM38" s="104"/>
      <c r="AAN38" s="102"/>
      <c r="AAO38" s="103"/>
      <c r="AAP38" s="104"/>
      <c r="AAQ38" s="102"/>
      <c r="AAR38" s="103"/>
      <c r="AAS38" s="104"/>
      <c r="AAT38" s="102"/>
      <c r="AAU38" s="105"/>
      <c r="AAV38" s="101"/>
      <c r="AAW38" s="102"/>
      <c r="AAX38" s="103"/>
      <c r="AAY38" s="104"/>
      <c r="AAZ38" s="102"/>
      <c r="ABA38" s="103"/>
      <c r="ABB38" s="104"/>
      <c r="ABC38" s="102"/>
      <c r="ABD38" s="103"/>
      <c r="ABE38" s="104"/>
      <c r="ABF38" s="102"/>
      <c r="ABG38" s="103"/>
      <c r="ABH38" s="104"/>
      <c r="ABI38" s="102"/>
      <c r="ABJ38" s="103"/>
      <c r="ABK38" s="104"/>
      <c r="ABL38" s="102"/>
      <c r="ABM38" s="103"/>
      <c r="ABN38" s="104"/>
      <c r="ABO38" s="102"/>
      <c r="ABP38" s="103"/>
      <c r="ABQ38" s="104"/>
      <c r="ABR38" s="102"/>
      <c r="ABS38" s="103"/>
      <c r="ABT38" s="104"/>
      <c r="ABU38" s="102"/>
      <c r="ABV38" s="103"/>
      <c r="ABW38" s="104"/>
      <c r="ABX38" s="102"/>
      <c r="ABY38" s="103"/>
      <c r="ABZ38" s="104"/>
      <c r="ACA38" s="102"/>
      <c r="ACB38" s="103"/>
      <c r="ACC38" s="104"/>
      <c r="ACD38" s="102"/>
      <c r="ACE38" s="103"/>
      <c r="ACF38" s="104"/>
      <c r="ACG38" s="102"/>
      <c r="ACH38" s="103"/>
      <c r="ACI38" s="104"/>
      <c r="ACJ38" s="102"/>
      <c r="ACK38" s="103"/>
      <c r="ACL38" s="104"/>
      <c r="ACM38" s="102"/>
      <c r="ACN38" s="103"/>
      <c r="ACO38" s="104"/>
      <c r="ACP38" s="102"/>
      <c r="ACQ38" s="103"/>
      <c r="ACR38" s="104"/>
      <c r="ACS38" s="102"/>
      <c r="ACT38" s="103"/>
      <c r="ACU38" s="104"/>
      <c r="ACV38" s="102"/>
      <c r="ACW38" s="103"/>
      <c r="ACX38" s="104"/>
      <c r="ACY38" s="102"/>
      <c r="ACZ38" s="103"/>
      <c r="ADA38" s="104"/>
      <c r="ADB38" s="102"/>
      <c r="ADC38" s="103"/>
      <c r="ADD38" s="104"/>
      <c r="ADE38" s="102"/>
      <c r="ADF38" s="103"/>
      <c r="ADG38" s="104"/>
      <c r="ADH38" s="102"/>
      <c r="ADI38" s="103"/>
      <c r="ADJ38" s="104"/>
      <c r="ADK38" s="102"/>
      <c r="ADL38" s="103"/>
      <c r="ADM38" s="104"/>
      <c r="ADN38" s="102"/>
      <c r="ADO38" s="103"/>
      <c r="ADP38" s="104"/>
      <c r="ADQ38" s="102"/>
      <c r="ADR38" s="103"/>
      <c r="ADS38" s="104"/>
      <c r="ADT38" s="102"/>
      <c r="ADU38" s="103"/>
      <c r="ADV38" s="104"/>
      <c r="ADW38" s="102"/>
      <c r="ADX38" s="103"/>
      <c r="ADY38" s="104"/>
      <c r="ADZ38" s="102"/>
      <c r="AEA38" s="103"/>
      <c r="AEB38" s="104"/>
      <c r="AEC38" s="102"/>
      <c r="AED38" s="103"/>
      <c r="AEE38" s="104"/>
      <c r="AEF38" s="102"/>
      <c r="AEG38" s="105"/>
    </row>
    <row r="39" spans="2:813" ht="19.5" customHeight="1" x14ac:dyDescent="0.25">
      <c r="B39" s="190" t="str">
        <f>Donnees!$C$38</f>
        <v>Autre</v>
      </c>
      <c r="C39" s="106">
        <v>342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155"/>
      <c r="AC39" s="153"/>
      <c r="AD39" s="154"/>
      <c r="AE39" s="155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98"/>
      <c r="BM39" s="96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9"/>
      <c r="CP39" s="95"/>
      <c r="CQ39" s="96"/>
      <c r="CR39" s="97"/>
      <c r="CS39" s="98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97"/>
      <c r="DW39" s="98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96"/>
      <c r="ET39" s="97"/>
      <c r="EU39" s="98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9"/>
      <c r="GB39" s="95"/>
      <c r="GC39" s="96"/>
      <c r="GD39" s="97"/>
      <c r="GE39" s="98"/>
      <c r="GF39" s="96"/>
      <c r="GG39" s="97"/>
      <c r="GH39" s="98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96"/>
      <c r="JM39" s="99"/>
      <c r="JN39" s="95"/>
      <c r="JO39" s="96"/>
      <c r="JP39" s="97"/>
      <c r="JQ39" s="98"/>
      <c r="JR39" s="96"/>
      <c r="JS39" s="97"/>
      <c r="JT39" s="98"/>
      <c r="JU39" s="96"/>
      <c r="JV39" s="97"/>
      <c r="JW39" s="98"/>
      <c r="JX39" s="96"/>
      <c r="JY39" s="97"/>
      <c r="JZ39" s="98"/>
      <c r="KA39" s="96"/>
      <c r="KB39" s="97"/>
      <c r="KC39" s="98"/>
      <c r="KD39" s="96"/>
      <c r="KE39" s="154"/>
      <c r="KF39" s="155"/>
      <c r="KG39" s="153"/>
      <c r="KH39" s="154"/>
      <c r="KI39" s="155"/>
      <c r="KJ39" s="153"/>
      <c r="KK39" s="154"/>
      <c r="KL39" s="98"/>
      <c r="KM39" s="96"/>
      <c r="KN39" s="97"/>
      <c r="KO39" s="98"/>
      <c r="KP39" s="96"/>
      <c r="KQ39" s="154"/>
      <c r="KR39" s="155"/>
      <c r="KS39" s="153"/>
      <c r="KT39" s="154"/>
      <c r="KU39" s="155"/>
      <c r="KV39" s="153"/>
      <c r="KW39" s="154"/>
      <c r="KX39" s="155"/>
      <c r="KY39" s="153"/>
      <c r="KZ39" s="154"/>
      <c r="LA39" s="155"/>
      <c r="LB39" s="153"/>
      <c r="LC39" s="154"/>
      <c r="LD39" s="155"/>
      <c r="LE39" s="153"/>
      <c r="LF39" s="154"/>
      <c r="LG39" s="155"/>
      <c r="LH39" s="153"/>
      <c r="LI39" s="154"/>
      <c r="LJ39" s="155"/>
      <c r="LK39" s="153"/>
      <c r="LL39" s="154"/>
      <c r="LM39" s="98"/>
      <c r="LN39" s="96"/>
      <c r="LO39" s="97"/>
      <c r="LP39" s="98"/>
      <c r="LQ39" s="96"/>
      <c r="LR39" s="154"/>
      <c r="LS39" s="155"/>
      <c r="LT39" s="153"/>
      <c r="LU39" s="154"/>
      <c r="LV39" s="155"/>
      <c r="LW39" s="153"/>
      <c r="LX39" s="154"/>
      <c r="LY39" s="98"/>
      <c r="LZ39" s="96"/>
      <c r="MA39" s="97"/>
      <c r="MB39" s="98"/>
      <c r="MC39" s="96"/>
      <c r="MD39" s="154"/>
      <c r="ME39" s="155"/>
      <c r="MF39" s="153"/>
      <c r="MG39" s="154"/>
      <c r="MH39" s="155"/>
      <c r="MI39" s="153"/>
      <c r="MJ39" s="154"/>
      <c r="MK39" s="155"/>
      <c r="ML39" s="153"/>
      <c r="MM39" s="154"/>
      <c r="MN39" s="155"/>
      <c r="MO39" s="153"/>
      <c r="MP39" s="154"/>
      <c r="MQ39" s="155"/>
      <c r="MR39" s="153"/>
      <c r="MS39" s="154"/>
      <c r="MT39" s="155"/>
      <c r="MU39" s="153"/>
      <c r="MV39" s="154"/>
      <c r="MW39" s="155"/>
      <c r="MX39" s="153"/>
      <c r="MY39" s="187"/>
      <c r="MZ39" s="95"/>
      <c r="NA39" s="96"/>
      <c r="NB39" s="97"/>
      <c r="NC39" s="98"/>
      <c r="ND39" s="96"/>
      <c r="NE39" s="154"/>
      <c r="NF39" s="155"/>
      <c r="NG39" s="153"/>
      <c r="NH39" s="154"/>
      <c r="NI39" s="155"/>
      <c r="NJ39" s="153"/>
      <c r="NK39" s="154"/>
      <c r="NL39" s="155"/>
      <c r="NM39" s="153"/>
      <c r="NN39" s="154"/>
      <c r="NO39" s="155"/>
      <c r="NP39" s="153"/>
      <c r="NQ39" s="154"/>
      <c r="NR39" s="155"/>
      <c r="NS39" s="153"/>
      <c r="NT39" s="154"/>
      <c r="NU39" s="155"/>
      <c r="NV39" s="153"/>
      <c r="NW39" s="154"/>
      <c r="NX39" s="98"/>
      <c r="NY39" s="96"/>
      <c r="NZ39" s="97"/>
      <c r="OA39" s="98"/>
      <c r="OB39" s="96"/>
      <c r="OC39" s="154"/>
      <c r="OD39" s="155"/>
      <c r="OE39" s="153"/>
      <c r="OF39" s="154"/>
      <c r="OG39" s="155"/>
      <c r="OH39" s="153"/>
      <c r="OI39" s="154"/>
      <c r="OJ39" s="155"/>
      <c r="OK39" s="153"/>
      <c r="OL39" s="154"/>
      <c r="OM39" s="155"/>
      <c r="ON39" s="153"/>
      <c r="OO39" s="154"/>
      <c r="OP39" s="155"/>
      <c r="OQ39" s="153"/>
      <c r="OR39" s="154"/>
      <c r="OS39" s="155"/>
      <c r="OT39" s="153"/>
      <c r="OU39" s="154"/>
      <c r="OV39" s="155"/>
      <c r="OW39" s="153"/>
      <c r="OX39" s="154"/>
      <c r="OY39" s="98"/>
      <c r="OZ39" s="96"/>
      <c r="PA39" s="97"/>
      <c r="PB39" s="98"/>
      <c r="PC39" s="96"/>
      <c r="PD39" s="154"/>
      <c r="PE39" s="155"/>
      <c r="PF39" s="153"/>
      <c r="PG39" s="154"/>
      <c r="PH39" s="155"/>
      <c r="PI39" s="153"/>
      <c r="PJ39" s="154"/>
      <c r="PK39" s="98"/>
      <c r="PL39" s="96"/>
      <c r="PM39" s="97"/>
      <c r="PN39" s="98"/>
      <c r="PO39" s="96"/>
      <c r="PP39" s="154"/>
      <c r="PQ39" s="155"/>
      <c r="PR39" s="153"/>
      <c r="PS39" s="154"/>
      <c r="PT39" s="155"/>
      <c r="PU39" s="153"/>
      <c r="PV39" s="154"/>
      <c r="PW39" s="155"/>
      <c r="PX39" s="153"/>
      <c r="PY39" s="154"/>
      <c r="PZ39" s="155"/>
      <c r="QA39" s="153"/>
      <c r="QB39" s="154"/>
      <c r="QC39" s="155"/>
      <c r="QD39" s="153"/>
      <c r="QE39" s="154"/>
      <c r="QF39" s="155"/>
      <c r="QG39" s="153"/>
      <c r="QH39" s="154"/>
      <c r="QI39" s="155"/>
      <c r="QJ39" s="153"/>
      <c r="QK39" s="187"/>
      <c r="QL39" s="95"/>
      <c r="QM39" s="96"/>
      <c r="QN39" s="97"/>
      <c r="QO39" s="98"/>
      <c r="QP39" s="96"/>
      <c r="QQ39" s="154"/>
      <c r="QR39" s="155"/>
      <c r="QS39" s="153"/>
      <c r="QT39" s="154"/>
      <c r="QU39" s="155"/>
      <c r="QV39" s="153"/>
      <c r="QW39" s="154"/>
      <c r="QX39" s="155"/>
      <c r="QY39" s="153"/>
      <c r="QZ39" s="154"/>
      <c r="RA39" s="155"/>
      <c r="RB39" s="153"/>
      <c r="RC39" s="154"/>
      <c r="RD39" s="155"/>
      <c r="RE39" s="153"/>
      <c r="RF39" s="154"/>
      <c r="RG39" s="155"/>
      <c r="RH39" s="153"/>
      <c r="RI39" s="154"/>
      <c r="RJ39" s="98"/>
      <c r="RK39" s="96"/>
      <c r="RL39" s="97"/>
      <c r="RM39" s="98"/>
      <c r="RN39" s="96"/>
      <c r="RO39" s="154"/>
      <c r="RP39" s="155"/>
      <c r="RQ39" s="153"/>
      <c r="RR39" s="154"/>
      <c r="RS39" s="155"/>
      <c r="RT39" s="153"/>
      <c r="RU39" s="154"/>
      <c r="RV39" s="155"/>
      <c r="RW39" s="153"/>
      <c r="RX39" s="154"/>
      <c r="RY39" s="155"/>
      <c r="RZ39" s="153"/>
      <c r="SA39" s="154"/>
      <c r="SB39" s="155"/>
      <c r="SC39" s="153"/>
      <c r="SD39" s="154"/>
      <c r="SE39" s="155"/>
      <c r="SF39" s="153"/>
      <c r="SG39" s="154"/>
      <c r="SH39" s="155"/>
      <c r="SI39" s="153"/>
      <c r="SJ39" s="154"/>
      <c r="SK39" s="98"/>
      <c r="SL39" s="96"/>
      <c r="SM39" s="97"/>
      <c r="SN39" s="98"/>
      <c r="SO39" s="96"/>
      <c r="SP39" s="154"/>
      <c r="SQ39" s="155"/>
      <c r="SR39" s="153"/>
      <c r="SS39" s="154"/>
      <c r="ST39" s="155"/>
      <c r="SU39" s="153"/>
      <c r="SV39" s="154"/>
      <c r="SW39" s="98"/>
      <c r="SX39" s="96"/>
      <c r="SY39" s="97"/>
      <c r="SZ39" s="98"/>
      <c r="TA39" s="96"/>
      <c r="TB39" s="154"/>
      <c r="TC39" s="155"/>
      <c r="TD39" s="153"/>
      <c r="TE39" s="154"/>
      <c r="TF39" s="155"/>
      <c r="TG39" s="153"/>
      <c r="TH39" s="154"/>
      <c r="TI39" s="155"/>
      <c r="TJ39" s="153"/>
      <c r="TK39" s="154"/>
      <c r="TL39" s="155"/>
      <c r="TM39" s="153"/>
      <c r="TN39" s="154"/>
      <c r="TO39" s="155"/>
      <c r="TP39" s="153"/>
      <c r="TQ39" s="154"/>
      <c r="TR39" s="155"/>
      <c r="TS39" s="153"/>
      <c r="TT39" s="154"/>
      <c r="TU39" s="155"/>
      <c r="TV39" s="153"/>
      <c r="TW39" s="187"/>
      <c r="TX39" s="95"/>
      <c r="TY39" s="96"/>
      <c r="TZ39" s="97"/>
      <c r="UA39" s="98"/>
      <c r="UB39" s="96"/>
      <c r="UC39" s="154"/>
      <c r="UD39" s="155"/>
      <c r="UE39" s="153"/>
      <c r="UF39" s="154"/>
      <c r="UG39" s="155"/>
      <c r="UH39" s="153"/>
      <c r="UI39" s="154"/>
      <c r="UJ39" s="155"/>
      <c r="UK39" s="153"/>
      <c r="UL39" s="154"/>
      <c r="UM39" s="155"/>
      <c r="UN39" s="153"/>
      <c r="UO39" s="154"/>
      <c r="UP39" s="155"/>
      <c r="UQ39" s="153"/>
      <c r="UR39" s="154"/>
      <c r="US39" s="155"/>
      <c r="UT39" s="153"/>
      <c r="UU39" s="154"/>
      <c r="UV39" s="98"/>
      <c r="UW39" s="96"/>
      <c r="UX39" s="97"/>
      <c r="UY39" s="98"/>
      <c r="UZ39" s="96"/>
      <c r="VA39" s="154"/>
      <c r="VB39" s="155"/>
      <c r="VC39" s="153"/>
      <c r="VD39" s="154"/>
      <c r="VE39" s="155"/>
      <c r="VF39" s="153"/>
      <c r="VG39" s="154"/>
      <c r="VH39" s="155"/>
      <c r="VI39" s="153"/>
      <c r="VJ39" s="154"/>
      <c r="VK39" s="155"/>
      <c r="VL39" s="153"/>
      <c r="VM39" s="154"/>
      <c r="VN39" s="155"/>
      <c r="VO39" s="153"/>
      <c r="VP39" s="154"/>
      <c r="VQ39" s="155"/>
      <c r="VR39" s="153"/>
      <c r="VS39" s="154"/>
      <c r="VT39" s="155"/>
      <c r="VU39" s="153"/>
      <c r="VV39" s="154"/>
      <c r="VW39" s="98"/>
      <c r="VX39" s="96"/>
      <c r="VY39" s="97"/>
      <c r="VZ39" s="98"/>
      <c r="WA39" s="96"/>
      <c r="WB39" s="154"/>
      <c r="WC39" s="155"/>
      <c r="WD39" s="153"/>
      <c r="WE39" s="154"/>
      <c r="WF39" s="155"/>
      <c r="WG39" s="153"/>
      <c r="WH39" s="154"/>
      <c r="WI39" s="98"/>
      <c r="WJ39" s="96"/>
      <c r="WK39" s="97"/>
      <c r="WL39" s="98"/>
      <c r="WM39" s="96"/>
      <c r="WN39" s="154"/>
      <c r="WO39" s="155"/>
      <c r="WP39" s="153"/>
      <c r="WQ39" s="154"/>
      <c r="WR39" s="155"/>
      <c r="WS39" s="153"/>
      <c r="WT39" s="154"/>
      <c r="WU39" s="155"/>
      <c r="WV39" s="153"/>
      <c r="WW39" s="154"/>
      <c r="WX39" s="155"/>
      <c r="WY39" s="153"/>
      <c r="WZ39" s="154"/>
      <c r="XA39" s="155"/>
      <c r="XB39" s="153"/>
      <c r="XC39" s="154"/>
      <c r="XD39" s="155"/>
      <c r="XE39" s="153"/>
      <c r="XF39" s="154"/>
      <c r="XG39" s="155"/>
      <c r="XH39" s="153"/>
      <c r="XI39" s="187"/>
      <c r="XJ39" s="95"/>
      <c r="XK39" s="96"/>
      <c r="XL39" s="97"/>
      <c r="XM39" s="98"/>
      <c r="XN39" s="96"/>
      <c r="XO39" s="154"/>
      <c r="XP39" s="155"/>
      <c r="XQ39" s="153"/>
      <c r="XR39" s="154"/>
      <c r="XS39" s="155"/>
      <c r="XT39" s="153"/>
      <c r="XU39" s="154"/>
      <c r="XV39" s="155"/>
      <c r="XW39" s="153"/>
      <c r="XX39" s="154"/>
      <c r="XY39" s="155"/>
      <c r="XZ39" s="153"/>
      <c r="YA39" s="154"/>
      <c r="YB39" s="155"/>
      <c r="YC39" s="153"/>
      <c r="YD39" s="154"/>
      <c r="YE39" s="155"/>
      <c r="YF39" s="153"/>
      <c r="YG39" s="154"/>
      <c r="YH39" s="98"/>
      <c r="YI39" s="96"/>
      <c r="YJ39" s="97"/>
      <c r="YK39" s="98"/>
      <c r="YL39" s="96"/>
      <c r="YM39" s="154"/>
      <c r="YN39" s="155"/>
      <c r="YO39" s="153"/>
      <c r="YP39" s="154"/>
      <c r="YQ39" s="155"/>
      <c r="YR39" s="153"/>
      <c r="YS39" s="154"/>
      <c r="YT39" s="155"/>
      <c r="YU39" s="153"/>
      <c r="YV39" s="154"/>
      <c r="YW39" s="155"/>
      <c r="YX39" s="153"/>
      <c r="YY39" s="154"/>
      <c r="YZ39" s="155"/>
      <c r="ZA39" s="153"/>
      <c r="ZB39" s="154"/>
      <c r="ZC39" s="155"/>
      <c r="ZD39" s="153"/>
      <c r="ZE39" s="154"/>
      <c r="ZF39" s="155"/>
      <c r="ZG39" s="153"/>
      <c r="ZH39" s="154"/>
      <c r="ZI39" s="98"/>
      <c r="ZJ39" s="96"/>
      <c r="ZK39" s="97"/>
      <c r="ZL39" s="98"/>
      <c r="ZM39" s="96"/>
      <c r="ZN39" s="154"/>
      <c r="ZO39" s="155"/>
      <c r="ZP39" s="153"/>
      <c r="ZQ39" s="154"/>
      <c r="ZR39" s="155"/>
      <c r="ZS39" s="153"/>
      <c r="ZT39" s="154"/>
      <c r="ZU39" s="98"/>
      <c r="ZV39" s="96"/>
      <c r="ZW39" s="97"/>
      <c r="ZX39" s="98"/>
      <c r="ZY39" s="96"/>
      <c r="ZZ39" s="154"/>
      <c r="AAA39" s="155"/>
      <c r="AAB39" s="153"/>
      <c r="AAC39" s="154"/>
      <c r="AAD39" s="155"/>
      <c r="AAE39" s="153"/>
      <c r="AAF39" s="154"/>
      <c r="AAG39" s="155"/>
      <c r="AAH39" s="153"/>
      <c r="AAI39" s="154"/>
      <c r="AAJ39" s="155"/>
      <c r="AAK39" s="153"/>
      <c r="AAL39" s="154"/>
      <c r="AAM39" s="155"/>
      <c r="AAN39" s="153"/>
      <c r="AAO39" s="154"/>
      <c r="AAP39" s="155"/>
      <c r="AAQ39" s="153"/>
      <c r="AAR39" s="154"/>
      <c r="AAS39" s="155"/>
      <c r="AAT39" s="153"/>
      <c r="AAU39" s="187"/>
      <c r="AAV39" s="95"/>
      <c r="AAW39" s="96"/>
      <c r="AAX39" s="97"/>
      <c r="AAY39" s="98"/>
      <c r="AAZ39" s="96"/>
      <c r="ABA39" s="97"/>
      <c r="ABB39" s="98"/>
      <c r="ABC39" s="96"/>
      <c r="ABD39" s="97"/>
      <c r="ABE39" s="98"/>
      <c r="ABF39" s="96"/>
      <c r="ABG39" s="97"/>
      <c r="ABH39" s="98"/>
      <c r="ABI39" s="96"/>
      <c r="ABJ39" s="97"/>
      <c r="ABK39" s="98"/>
      <c r="ABL39" s="96"/>
      <c r="ABM39" s="97"/>
      <c r="ABN39" s="98"/>
      <c r="ABO39" s="96"/>
      <c r="ABP39" s="97"/>
      <c r="ABQ39" s="98"/>
      <c r="ABR39" s="96"/>
      <c r="ABS39" s="97"/>
      <c r="ABT39" s="98"/>
      <c r="ABU39" s="96"/>
      <c r="ABV39" s="97"/>
      <c r="ABW39" s="98"/>
      <c r="ABX39" s="96"/>
      <c r="ABY39" s="97"/>
      <c r="ABZ39" s="98"/>
      <c r="ACA39" s="96"/>
      <c r="ACB39" s="97"/>
      <c r="ACC39" s="98"/>
      <c r="ACD39" s="96"/>
      <c r="ACE39" s="97"/>
      <c r="ACF39" s="98"/>
      <c r="ACG39" s="96"/>
      <c r="ACH39" s="97"/>
      <c r="ACI39" s="98"/>
      <c r="ACJ39" s="96"/>
      <c r="ACK39" s="97"/>
      <c r="ACL39" s="98"/>
      <c r="ACM39" s="96"/>
      <c r="ACN39" s="97"/>
      <c r="ACO39" s="98"/>
      <c r="ACP39" s="96"/>
      <c r="ACQ39" s="97"/>
      <c r="ACR39" s="98"/>
      <c r="ACS39" s="96"/>
      <c r="ACT39" s="97"/>
      <c r="ACU39" s="98"/>
      <c r="ACV39" s="96"/>
      <c r="ACW39" s="97"/>
      <c r="ACX39" s="98"/>
      <c r="ACY39" s="96"/>
      <c r="ACZ39" s="97"/>
      <c r="ADA39" s="98"/>
      <c r="ADB39" s="96"/>
      <c r="ADC39" s="97"/>
      <c r="ADD39" s="98"/>
      <c r="ADE39" s="96"/>
      <c r="ADF39" s="97"/>
      <c r="ADG39" s="98"/>
      <c r="ADH39" s="96"/>
      <c r="ADI39" s="97"/>
      <c r="ADJ39" s="98"/>
      <c r="ADK39" s="96"/>
      <c r="ADL39" s="97"/>
      <c r="ADM39" s="98"/>
      <c r="ADN39" s="96"/>
      <c r="ADO39" s="97"/>
      <c r="ADP39" s="98"/>
      <c r="ADQ39" s="96"/>
      <c r="ADR39" s="97"/>
      <c r="ADS39" s="98"/>
      <c r="ADT39" s="96"/>
      <c r="ADU39" s="97"/>
      <c r="ADV39" s="98"/>
      <c r="ADW39" s="96"/>
      <c r="ADX39" s="97"/>
      <c r="ADY39" s="98"/>
      <c r="ADZ39" s="96"/>
      <c r="AEA39" s="97"/>
      <c r="AEB39" s="98"/>
      <c r="AEC39" s="96"/>
      <c r="AED39" s="97"/>
      <c r="AEE39" s="98"/>
      <c r="AEF39" s="96"/>
      <c r="AEG39" s="99"/>
    </row>
    <row r="40" spans="2:813" ht="19.5" customHeight="1" x14ac:dyDescent="0.25">
      <c r="B40" s="191"/>
      <c r="C40" s="107">
        <v>17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51"/>
      <c r="AC40" s="149"/>
      <c r="AD40" s="150"/>
      <c r="AE40" s="151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50"/>
      <c r="BR40" s="151"/>
      <c r="BS40" s="149"/>
      <c r="BT40" s="150"/>
      <c r="BU40" s="151"/>
      <c r="BV40" s="149"/>
      <c r="BW40" s="150"/>
      <c r="BX40" s="151"/>
      <c r="BY40" s="149"/>
      <c r="BZ40" s="150"/>
      <c r="CA40" s="151"/>
      <c r="CB40" s="102"/>
      <c r="CC40" s="103"/>
      <c r="CD40" s="104"/>
      <c r="CE40" s="102"/>
      <c r="CF40" s="103"/>
      <c r="CG40" s="151"/>
      <c r="CH40" s="149"/>
      <c r="CI40" s="103"/>
      <c r="CJ40" s="104"/>
      <c r="CK40" s="102"/>
      <c r="CL40" s="103"/>
      <c r="CM40" s="104"/>
      <c r="CN40" s="102"/>
      <c r="CO40" s="105"/>
      <c r="CP40" s="101"/>
      <c r="CQ40" s="102"/>
      <c r="CR40" s="103"/>
      <c r="CS40" s="104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02"/>
      <c r="EH40" s="103"/>
      <c r="EI40" s="104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5"/>
      <c r="GB40" s="101"/>
      <c r="GC40" s="102"/>
      <c r="GD40" s="103"/>
      <c r="GE40" s="104"/>
      <c r="GF40" s="102"/>
      <c r="GG40" s="103"/>
      <c r="GH40" s="104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5"/>
      <c r="JN40" s="101"/>
      <c r="JO40" s="102"/>
      <c r="JP40" s="103"/>
      <c r="JQ40" s="104"/>
      <c r="JR40" s="102"/>
      <c r="JS40" s="103"/>
      <c r="JT40" s="104"/>
      <c r="JU40" s="102"/>
      <c r="JV40" s="103"/>
      <c r="JW40" s="104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5"/>
      <c r="MZ40" s="101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3"/>
      <c r="NL40" s="104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5"/>
      <c r="QL40" s="101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3"/>
      <c r="RA40" s="104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5"/>
      <c r="TX40" s="101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3"/>
      <c r="UP40" s="104"/>
      <c r="UQ40" s="102"/>
      <c r="UR40" s="103"/>
      <c r="US40" s="104"/>
      <c r="UT40" s="102"/>
      <c r="UU40" s="103"/>
      <c r="UV40" s="104"/>
      <c r="UW40" s="102"/>
      <c r="UX40" s="103"/>
      <c r="UY40" s="104"/>
      <c r="UZ40" s="102"/>
      <c r="VA40" s="103"/>
      <c r="VB40" s="104"/>
      <c r="VC40" s="102"/>
      <c r="VD40" s="103"/>
      <c r="VE40" s="104"/>
      <c r="VF40" s="102"/>
      <c r="VG40" s="103"/>
      <c r="VH40" s="104"/>
      <c r="VI40" s="102"/>
      <c r="VJ40" s="103"/>
      <c r="VK40" s="104"/>
      <c r="VL40" s="102"/>
      <c r="VM40" s="103"/>
      <c r="VN40" s="104"/>
      <c r="VO40" s="102"/>
      <c r="VP40" s="103"/>
      <c r="VQ40" s="104"/>
      <c r="VR40" s="102"/>
      <c r="VS40" s="103"/>
      <c r="VT40" s="104"/>
      <c r="VU40" s="102"/>
      <c r="VV40" s="103"/>
      <c r="VW40" s="104"/>
      <c r="VX40" s="102"/>
      <c r="VY40" s="103"/>
      <c r="VZ40" s="104"/>
      <c r="WA40" s="102"/>
      <c r="WB40" s="103"/>
      <c r="WC40" s="104"/>
      <c r="WD40" s="102"/>
      <c r="WE40" s="103"/>
      <c r="WF40" s="104"/>
      <c r="WG40" s="102"/>
      <c r="WH40" s="103"/>
      <c r="WI40" s="104"/>
      <c r="WJ40" s="102"/>
      <c r="WK40" s="103"/>
      <c r="WL40" s="104"/>
      <c r="WM40" s="102"/>
      <c r="WN40" s="103"/>
      <c r="WO40" s="104"/>
      <c r="WP40" s="102"/>
      <c r="WQ40" s="103"/>
      <c r="WR40" s="104"/>
      <c r="WS40" s="102"/>
      <c r="WT40" s="103"/>
      <c r="WU40" s="104"/>
      <c r="WV40" s="102"/>
      <c r="WW40" s="103"/>
      <c r="WX40" s="104"/>
      <c r="WY40" s="102"/>
      <c r="WZ40" s="103"/>
      <c r="XA40" s="104"/>
      <c r="XB40" s="102"/>
      <c r="XC40" s="103"/>
      <c r="XD40" s="104"/>
      <c r="XE40" s="102"/>
      <c r="XF40" s="103"/>
      <c r="XG40" s="104"/>
      <c r="XH40" s="102"/>
      <c r="XI40" s="105"/>
      <c r="XJ40" s="101"/>
      <c r="XK40" s="102"/>
      <c r="XL40" s="103"/>
      <c r="XM40" s="104"/>
      <c r="XN40" s="102"/>
      <c r="XO40" s="103"/>
      <c r="XP40" s="104"/>
      <c r="XQ40" s="102"/>
      <c r="XR40" s="103"/>
      <c r="XS40" s="104"/>
      <c r="XT40" s="102"/>
      <c r="XU40" s="103"/>
      <c r="XV40" s="104"/>
      <c r="XW40" s="102"/>
      <c r="XX40" s="103"/>
      <c r="XY40" s="104"/>
      <c r="XZ40" s="102"/>
      <c r="YA40" s="103"/>
      <c r="YB40" s="104"/>
      <c r="YC40" s="102"/>
      <c r="YD40" s="103"/>
      <c r="YE40" s="104"/>
      <c r="YF40" s="102"/>
      <c r="YG40" s="103"/>
      <c r="YH40" s="104"/>
      <c r="YI40" s="102"/>
      <c r="YJ40" s="103"/>
      <c r="YK40" s="104"/>
      <c r="YL40" s="102"/>
      <c r="YM40" s="103"/>
      <c r="YN40" s="104"/>
      <c r="YO40" s="102"/>
      <c r="YP40" s="103"/>
      <c r="YQ40" s="104"/>
      <c r="YR40" s="102"/>
      <c r="YS40" s="103"/>
      <c r="YT40" s="104"/>
      <c r="YU40" s="102"/>
      <c r="YV40" s="103"/>
      <c r="YW40" s="104"/>
      <c r="YX40" s="102"/>
      <c r="YY40" s="103"/>
      <c r="YZ40" s="104"/>
      <c r="ZA40" s="102"/>
      <c r="ZB40" s="103"/>
      <c r="ZC40" s="104"/>
      <c r="ZD40" s="102"/>
      <c r="ZE40" s="103"/>
      <c r="ZF40" s="104"/>
      <c r="ZG40" s="102"/>
      <c r="ZH40" s="103"/>
      <c r="ZI40" s="104"/>
      <c r="ZJ40" s="102"/>
      <c r="ZK40" s="103"/>
      <c r="ZL40" s="104"/>
      <c r="ZM40" s="102"/>
      <c r="ZN40" s="103"/>
      <c r="ZO40" s="104"/>
      <c r="ZP40" s="102"/>
      <c r="ZQ40" s="103"/>
      <c r="ZR40" s="104"/>
      <c r="ZS40" s="102"/>
      <c r="ZT40" s="103"/>
      <c r="ZU40" s="104"/>
      <c r="ZV40" s="102"/>
      <c r="ZW40" s="103"/>
      <c r="ZX40" s="104"/>
      <c r="ZY40" s="102"/>
      <c r="ZZ40" s="103"/>
      <c r="AAA40" s="104"/>
      <c r="AAB40" s="102"/>
      <c r="AAC40" s="103"/>
      <c r="AAD40" s="104"/>
      <c r="AAE40" s="102"/>
      <c r="AAF40" s="103"/>
      <c r="AAG40" s="104"/>
      <c r="AAH40" s="102"/>
      <c r="AAI40" s="103"/>
      <c r="AAJ40" s="104"/>
      <c r="AAK40" s="102"/>
      <c r="AAL40" s="103"/>
      <c r="AAM40" s="104"/>
      <c r="AAN40" s="102"/>
      <c r="AAO40" s="103"/>
      <c r="AAP40" s="104"/>
      <c r="AAQ40" s="102"/>
      <c r="AAR40" s="103"/>
      <c r="AAS40" s="104"/>
      <c r="AAT40" s="102"/>
      <c r="AAU40" s="105"/>
      <c r="AAV40" s="101"/>
      <c r="AAW40" s="102"/>
      <c r="AAX40" s="103"/>
      <c r="AAY40" s="104"/>
      <c r="AAZ40" s="102"/>
      <c r="ABA40" s="103"/>
      <c r="ABB40" s="104"/>
      <c r="ABC40" s="102"/>
      <c r="ABD40" s="103"/>
      <c r="ABE40" s="104"/>
      <c r="ABF40" s="102"/>
      <c r="ABG40" s="103"/>
      <c r="ABH40" s="104"/>
      <c r="ABI40" s="102"/>
      <c r="ABJ40" s="103"/>
      <c r="ABK40" s="104"/>
      <c r="ABL40" s="102"/>
      <c r="ABM40" s="103"/>
      <c r="ABN40" s="104"/>
      <c r="ABO40" s="102"/>
      <c r="ABP40" s="103"/>
      <c r="ABQ40" s="104"/>
      <c r="ABR40" s="102"/>
      <c r="ABS40" s="103"/>
      <c r="ABT40" s="104"/>
      <c r="ABU40" s="102"/>
      <c r="ABV40" s="103"/>
      <c r="ABW40" s="104"/>
      <c r="ABX40" s="102"/>
      <c r="ABY40" s="103"/>
      <c r="ABZ40" s="104"/>
      <c r="ACA40" s="102"/>
      <c r="ACB40" s="103"/>
      <c r="ACC40" s="104"/>
      <c r="ACD40" s="102"/>
      <c r="ACE40" s="103"/>
      <c r="ACF40" s="104"/>
      <c r="ACG40" s="102"/>
      <c r="ACH40" s="103"/>
      <c r="ACI40" s="104"/>
      <c r="ACJ40" s="102"/>
      <c r="ACK40" s="103"/>
      <c r="ACL40" s="104"/>
      <c r="ACM40" s="102"/>
      <c r="ACN40" s="103"/>
      <c r="ACO40" s="104"/>
      <c r="ACP40" s="102"/>
      <c r="ACQ40" s="103"/>
      <c r="ACR40" s="104"/>
      <c r="ACS40" s="102"/>
      <c r="ACT40" s="103"/>
      <c r="ACU40" s="104"/>
      <c r="ACV40" s="102"/>
      <c r="ACW40" s="103"/>
      <c r="ACX40" s="104"/>
      <c r="ACY40" s="102"/>
      <c r="ACZ40" s="103"/>
      <c r="ADA40" s="104"/>
      <c r="ADB40" s="102"/>
      <c r="ADC40" s="103"/>
      <c r="ADD40" s="104"/>
      <c r="ADE40" s="102"/>
      <c r="ADF40" s="103"/>
      <c r="ADG40" s="104"/>
      <c r="ADH40" s="102"/>
      <c r="ADI40" s="103"/>
      <c r="ADJ40" s="104"/>
      <c r="ADK40" s="102"/>
      <c r="ADL40" s="103"/>
      <c r="ADM40" s="104"/>
      <c r="ADN40" s="102"/>
      <c r="ADO40" s="103"/>
      <c r="ADP40" s="104"/>
      <c r="ADQ40" s="102"/>
      <c r="ADR40" s="103"/>
      <c r="ADS40" s="104"/>
      <c r="ADT40" s="102"/>
      <c r="ADU40" s="103"/>
      <c r="ADV40" s="104"/>
      <c r="ADW40" s="102"/>
      <c r="ADX40" s="103"/>
      <c r="ADY40" s="104"/>
      <c r="ADZ40" s="102"/>
      <c r="AEA40" s="103"/>
      <c r="AEB40" s="104"/>
      <c r="AEC40" s="102"/>
      <c r="AED40" s="103"/>
      <c r="AEE40" s="104"/>
      <c r="AEF40" s="102"/>
      <c r="AEG40" s="105"/>
    </row>
    <row r="41" spans="2:813" ht="19.5" customHeight="1" x14ac:dyDescent="0.25">
      <c r="B41" s="109" t="s">
        <v>15</v>
      </c>
      <c r="C41" s="110">
        <f>SUM($C$3,$C$5,$C$7,$C$9,$C$11,$C$13,$C$15,$C$17,$C$19,$C$21,$C$23,$C$25,$C$27,$C$29,$C$31,$C$33,$C$35,$C$37,$C$39)</f>
        <v>720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3"/>
      <c r="CP41" s="111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3"/>
      <c r="GB41" s="111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3"/>
      <c r="JN41" s="111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3"/>
      <c r="MZ41" s="111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3"/>
      <c r="QL41" s="111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3"/>
      <c r="TX41" s="111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3"/>
      <c r="XJ41" s="111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3"/>
      <c r="AAV41" s="111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3"/>
    </row>
    <row r="42" spans="2:813" ht="19.5" customHeight="1" thickBot="1" x14ac:dyDescent="0.3">
      <c r="B42" s="114" t="s">
        <v>16</v>
      </c>
      <c r="C42" s="115">
        <f>SUM($C$4,$C$6,$C$8,$C$10,$C$12,$C$14,$C$16,$C$18,$C$20,$C$22,$C$24,$C$26,$C$28,$C$30,$C$32,$C$34,$C$36,$C$38,$C$40)</f>
        <v>90</v>
      </c>
      <c r="D42" s="116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8"/>
      <c r="CP42" s="116"/>
      <c r="CQ42" s="117"/>
      <c r="CR42" s="117"/>
      <c r="CS42" s="117"/>
      <c r="CT42" s="117"/>
      <c r="CU42" s="117"/>
      <c r="CV42" s="117"/>
      <c r="CW42" s="117"/>
      <c r="CX42" s="117"/>
      <c r="CY42" s="117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8"/>
      <c r="GB42" s="116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8"/>
      <c r="JN42" s="116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  <c r="KO42" s="117"/>
      <c r="KP42" s="117"/>
      <c r="KQ42" s="117"/>
      <c r="KR42" s="117"/>
      <c r="KS42" s="117"/>
      <c r="KT42" s="117"/>
      <c r="KU42" s="117"/>
      <c r="KV42" s="117"/>
      <c r="KW42" s="117"/>
      <c r="KX42" s="117"/>
      <c r="KY42" s="117"/>
      <c r="KZ42" s="117"/>
      <c r="LA42" s="117"/>
      <c r="LB42" s="117"/>
      <c r="LC42" s="117"/>
      <c r="LD42" s="117"/>
      <c r="LE42" s="117"/>
      <c r="LF42" s="117"/>
      <c r="LG42" s="117"/>
      <c r="LH42" s="117"/>
      <c r="LI42" s="117"/>
      <c r="LJ42" s="117"/>
      <c r="LK42" s="117"/>
      <c r="LL42" s="117"/>
      <c r="LM42" s="117"/>
      <c r="LN42" s="117"/>
      <c r="LO42" s="117"/>
      <c r="LP42" s="117"/>
      <c r="LQ42" s="117"/>
      <c r="LR42" s="117"/>
      <c r="LS42" s="117"/>
      <c r="LT42" s="117"/>
      <c r="LU42" s="117"/>
      <c r="LV42" s="117"/>
      <c r="LW42" s="117"/>
      <c r="LX42" s="117"/>
      <c r="LY42" s="117"/>
      <c r="LZ42" s="117"/>
      <c r="MA42" s="117"/>
      <c r="MB42" s="117"/>
      <c r="MC42" s="117"/>
      <c r="MD42" s="117"/>
      <c r="ME42" s="117"/>
      <c r="MF42" s="117"/>
      <c r="MG42" s="117"/>
      <c r="MH42" s="117"/>
      <c r="MI42" s="117"/>
      <c r="MJ42" s="117"/>
      <c r="MK42" s="117"/>
      <c r="ML42" s="117"/>
      <c r="MM42" s="117"/>
      <c r="MN42" s="117"/>
      <c r="MO42" s="117"/>
      <c r="MP42" s="117"/>
      <c r="MQ42" s="117"/>
      <c r="MR42" s="117"/>
      <c r="MS42" s="117"/>
      <c r="MT42" s="117"/>
      <c r="MU42" s="117"/>
      <c r="MV42" s="117"/>
      <c r="MW42" s="117"/>
      <c r="MX42" s="117"/>
      <c r="MY42" s="118"/>
      <c r="MZ42" s="116"/>
      <c r="NA42" s="117"/>
      <c r="NB42" s="117"/>
      <c r="NC42" s="117"/>
      <c r="ND42" s="117"/>
      <c r="NE42" s="117"/>
      <c r="NF42" s="117"/>
      <c r="NG42" s="117"/>
      <c r="NH42" s="117"/>
      <c r="NI42" s="117"/>
      <c r="NJ42" s="117"/>
      <c r="NK42" s="117"/>
      <c r="NL42" s="117"/>
      <c r="NM42" s="117"/>
      <c r="NN42" s="117"/>
      <c r="NO42" s="117"/>
      <c r="NP42" s="117"/>
      <c r="NQ42" s="117"/>
      <c r="NR42" s="117"/>
      <c r="NS42" s="117"/>
      <c r="NT42" s="117"/>
      <c r="NU42" s="117"/>
      <c r="NV42" s="117"/>
      <c r="NW42" s="117"/>
      <c r="NX42" s="117"/>
      <c r="NY42" s="117"/>
      <c r="NZ42" s="117"/>
      <c r="OA42" s="117"/>
      <c r="OB42" s="117"/>
      <c r="OC42" s="117"/>
      <c r="OD42" s="117"/>
      <c r="OE42" s="117"/>
      <c r="OF42" s="117"/>
      <c r="OG42" s="117"/>
      <c r="OH42" s="117"/>
      <c r="OI42" s="117"/>
      <c r="OJ42" s="117"/>
      <c r="OK42" s="117"/>
      <c r="OL42" s="117"/>
      <c r="OM42" s="117"/>
      <c r="ON42" s="117"/>
      <c r="OO42" s="117"/>
      <c r="OP42" s="117"/>
      <c r="OQ42" s="117"/>
      <c r="OR42" s="117"/>
      <c r="OS42" s="117"/>
      <c r="OT42" s="117"/>
      <c r="OU42" s="117"/>
      <c r="OV42" s="117"/>
      <c r="OW42" s="117"/>
      <c r="OX42" s="117"/>
      <c r="OY42" s="117"/>
      <c r="OZ42" s="117"/>
      <c r="PA42" s="117"/>
      <c r="PB42" s="117"/>
      <c r="PC42" s="117"/>
      <c r="PD42" s="117"/>
      <c r="PE42" s="117"/>
      <c r="PF42" s="117"/>
      <c r="PG42" s="117"/>
      <c r="PH42" s="117"/>
      <c r="PI42" s="117"/>
      <c r="PJ42" s="117"/>
      <c r="PK42" s="117"/>
      <c r="PL42" s="117"/>
      <c r="PM42" s="117"/>
      <c r="PN42" s="117"/>
      <c r="PO42" s="117"/>
      <c r="PP42" s="117"/>
      <c r="PQ42" s="117"/>
      <c r="PR42" s="117"/>
      <c r="PS42" s="117"/>
      <c r="PT42" s="117"/>
      <c r="PU42" s="117"/>
      <c r="PV42" s="117"/>
      <c r="PW42" s="117"/>
      <c r="PX42" s="117"/>
      <c r="PY42" s="117"/>
      <c r="PZ42" s="117"/>
      <c r="QA42" s="117"/>
      <c r="QB42" s="117"/>
      <c r="QC42" s="117"/>
      <c r="QD42" s="117"/>
      <c r="QE42" s="117"/>
      <c r="QF42" s="117"/>
      <c r="QG42" s="117"/>
      <c r="QH42" s="117"/>
      <c r="QI42" s="117"/>
      <c r="QJ42" s="117"/>
      <c r="QK42" s="118"/>
      <c r="QL42" s="116"/>
      <c r="QM42" s="117"/>
      <c r="QN42" s="117"/>
      <c r="QO42" s="117"/>
      <c r="QP42" s="117"/>
      <c r="QQ42" s="117"/>
      <c r="QR42" s="117"/>
      <c r="QS42" s="117"/>
      <c r="QT42" s="117"/>
      <c r="QU42" s="117"/>
      <c r="QV42" s="117"/>
      <c r="QW42" s="117"/>
      <c r="QX42" s="117"/>
      <c r="QY42" s="117"/>
      <c r="QZ42" s="117"/>
      <c r="RA42" s="117"/>
      <c r="RB42" s="117"/>
      <c r="RC42" s="117"/>
      <c r="RD42" s="117"/>
      <c r="RE42" s="117"/>
      <c r="RF42" s="117"/>
      <c r="RG42" s="117"/>
      <c r="RH42" s="117"/>
      <c r="RI42" s="117"/>
      <c r="RJ42" s="117"/>
      <c r="RK42" s="117"/>
      <c r="RL42" s="117"/>
      <c r="RM42" s="117"/>
      <c r="RN42" s="117"/>
      <c r="RO42" s="117"/>
      <c r="RP42" s="117"/>
      <c r="RQ42" s="117"/>
      <c r="RR42" s="117"/>
      <c r="RS42" s="117"/>
      <c r="RT42" s="117"/>
      <c r="RU42" s="117"/>
      <c r="RV42" s="117"/>
      <c r="RW42" s="117"/>
      <c r="RX42" s="117"/>
      <c r="RY42" s="117"/>
      <c r="RZ42" s="117"/>
      <c r="SA42" s="117"/>
      <c r="SB42" s="117"/>
      <c r="SC42" s="117"/>
      <c r="SD42" s="117"/>
      <c r="SE42" s="117"/>
      <c r="SF42" s="117"/>
      <c r="SG42" s="117"/>
      <c r="SH42" s="117"/>
      <c r="SI42" s="117"/>
      <c r="SJ42" s="117"/>
      <c r="SK42" s="117"/>
      <c r="SL42" s="117"/>
      <c r="SM42" s="117"/>
      <c r="SN42" s="117"/>
      <c r="SO42" s="117"/>
      <c r="SP42" s="117"/>
      <c r="SQ42" s="117"/>
      <c r="SR42" s="117"/>
      <c r="SS42" s="117"/>
      <c r="ST42" s="117"/>
      <c r="SU42" s="117"/>
      <c r="SV42" s="117"/>
      <c r="SW42" s="117"/>
      <c r="SX42" s="117"/>
      <c r="SY42" s="117"/>
      <c r="SZ42" s="117"/>
      <c r="TA42" s="117"/>
      <c r="TB42" s="117"/>
      <c r="TC42" s="117"/>
      <c r="TD42" s="117"/>
      <c r="TE42" s="117"/>
      <c r="TF42" s="117"/>
      <c r="TG42" s="117"/>
      <c r="TH42" s="117"/>
      <c r="TI42" s="117"/>
      <c r="TJ42" s="117"/>
      <c r="TK42" s="117"/>
      <c r="TL42" s="117"/>
      <c r="TM42" s="117"/>
      <c r="TN42" s="117"/>
      <c r="TO42" s="117"/>
      <c r="TP42" s="117"/>
      <c r="TQ42" s="117"/>
      <c r="TR42" s="117"/>
      <c r="TS42" s="117"/>
      <c r="TT42" s="117"/>
      <c r="TU42" s="117"/>
      <c r="TV42" s="117"/>
      <c r="TW42" s="118"/>
      <c r="TX42" s="116"/>
      <c r="TY42" s="117"/>
      <c r="TZ42" s="117"/>
      <c r="UA42" s="117"/>
      <c r="UB42" s="117"/>
      <c r="UC42" s="117"/>
      <c r="UD42" s="117"/>
      <c r="UE42" s="117"/>
      <c r="UF42" s="117"/>
      <c r="UG42" s="117"/>
      <c r="UH42" s="117"/>
      <c r="UI42" s="117"/>
      <c r="UJ42" s="117"/>
      <c r="UK42" s="117"/>
      <c r="UL42" s="117"/>
      <c r="UM42" s="117"/>
      <c r="UN42" s="117"/>
      <c r="UO42" s="117"/>
      <c r="UP42" s="117"/>
      <c r="UQ42" s="117"/>
      <c r="UR42" s="117"/>
      <c r="US42" s="117"/>
      <c r="UT42" s="117"/>
      <c r="UU42" s="117"/>
      <c r="UV42" s="117"/>
      <c r="UW42" s="117"/>
      <c r="UX42" s="117"/>
      <c r="UY42" s="117"/>
      <c r="UZ42" s="117"/>
      <c r="VA42" s="117"/>
      <c r="VB42" s="117"/>
      <c r="VC42" s="117"/>
      <c r="VD42" s="117"/>
      <c r="VE42" s="117"/>
      <c r="VF42" s="117"/>
      <c r="VG42" s="117"/>
      <c r="VH42" s="117"/>
      <c r="VI42" s="117"/>
      <c r="VJ42" s="117"/>
      <c r="VK42" s="117"/>
      <c r="VL42" s="117"/>
      <c r="VM42" s="117"/>
      <c r="VN42" s="117"/>
      <c r="VO42" s="117"/>
      <c r="VP42" s="117"/>
      <c r="VQ42" s="117"/>
      <c r="VR42" s="117"/>
      <c r="VS42" s="117"/>
      <c r="VT42" s="117"/>
      <c r="VU42" s="117"/>
      <c r="VV42" s="117"/>
      <c r="VW42" s="117"/>
      <c r="VX42" s="117"/>
      <c r="VY42" s="117"/>
      <c r="VZ42" s="117"/>
      <c r="WA42" s="117"/>
      <c r="WB42" s="117"/>
      <c r="WC42" s="117"/>
      <c r="WD42" s="117"/>
      <c r="WE42" s="117"/>
      <c r="WF42" s="117"/>
      <c r="WG42" s="117"/>
      <c r="WH42" s="117"/>
      <c r="WI42" s="117"/>
      <c r="WJ42" s="117"/>
      <c r="WK42" s="117"/>
      <c r="WL42" s="117"/>
      <c r="WM42" s="117"/>
      <c r="WN42" s="117"/>
      <c r="WO42" s="117"/>
      <c r="WP42" s="117"/>
      <c r="WQ42" s="117"/>
      <c r="WR42" s="117"/>
      <c r="WS42" s="117"/>
      <c r="WT42" s="117"/>
      <c r="WU42" s="117"/>
      <c r="WV42" s="117"/>
      <c r="WW42" s="117"/>
      <c r="WX42" s="117"/>
      <c r="WY42" s="117"/>
      <c r="WZ42" s="117"/>
      <c r="XA42" s="117"/>
      <c r="XB42" s="117"/>
      <c r="XC42" s="117"/>
      <c r="XD42" s="117"/>
      <c r="XE42" s="117"/>
      <c r="XF42" s="117"/>
      <c r="XG42" s="117"/>
      <c r="XH42" s="117"/>
      <c r="XI42" s="118"/>
      <c r="XJ42" s="116"/>
      <c r="XK42" s="117"/>
      <c r="XL42" s="117"/>
      <c r="XM42" s="117"/>
      <c r="XN42" s="117"/>
      <c r="XO42" s="117"/>
      <c r="XP42" s="117"/>
      <c r="XQ42" s="117"/>
      <c r="XR42" s="117"/>
      <c r="XS42" s="117"/>
      <c r="XT42" s="117"/>
      <c r="XU42" s="117"/>
      <c r="XV42" s="117"/>
      <c r="XW42" s="117"/>
      <c r="XX42" s="117"/>
      <c r="XY42" s="117"/>
      <c r="XZ42" s="117"/>
      <c r="YA42" s="117"/>
      <c r="YB42" s="117"/>
      <c r="YC42" s="117"/>
      <c r="YD42" s="117"/>
      <c r="YE42" s="117"/>
      <c r="YF42" s="117"/>
      <c r="YG42" s="117"/>
      <c r="YH42" s="117"/>
      <c r="YI42" s="117"/>
      <c r="YJ42" s="117"/>
      <c r="YK42" s="117"/>
      <c r="YL42" s="117"/>
      <c r="YM42" s="117"/>
      <c r="YN42" s="117"/>
      <c r="YO42" s="117"/>
      <c r="YP42" s="117"/>
      <c r="YQ42" s="117"/>
      <c r="YR42" s="117"/>
      <c r="YS42" s="117"/>
      <c r="YT42" s="117"/>
      <c r="YU42" s="117"/>
      <c r="YV42" s="117"/>
      <c r="YW42" s="117"/>
      <c r="YX42" s="117"/>
      <c r="YY42" s="117"/>
      <c r="YZ42" s="117"/>
      <c r="ZA42" s="117"/>
      <c r="ZB42" s="117"/>
      <c r="ZC42" s="117"/>
      <c r="ZD42" s="117"/>
      <c r="ZE42" s="117"/>
      <c r="ZF42" s="117"/>
      <c r="ZG42" s="117"/>
      <c r="ZH42" s="117"/>
      <c r="ZI42" s="117"/>
      <c r="ZJ42" s="117"/>
      <c r="ZK42" s="117"/>
      <c r="ZL42" s="117"/>
      <c r="ZM42" s="117"/>
      <c r="ZN42" s="117"/>
      <c r="ZO42" s="117"/>
      <c r="ZP42" s="117"/>
      <c r="ZQ42" s="117"/>
      <c r="ZR42" s="117"/>
      <c r="ZS42" s="117"/>
      <c r="ZT42" s="117"/>
      <c r="ZU42" s="117"/>
      <c r="ZV42" s="117"/>
      <c r="ZW42" s="117"/>
      <c r="ZX42" s="117"/>
      <c r="ZY42" s="117"/>
      <c r="ZZ42" s="117"/>
      <c r="AAA42" s="117"/>
      <c r="AAB42" s="117"/>
      <c r="AAC42" s="117"/>
      <c r="AAD42" s="117"/>
      <c r="AAE42" s="117"/>
      <c r="AAF42" s="117"/>
      <c r="AAG42" s="117"/>
      <c r="AAH42" s="117"/>
      <c r="AAI42" s="117"/>
      <c r="AAJ42" s="117"/>
      <c r="AAK42" s="117"/>
      <c r="AAL42" s="117"/>
      <c r="AAM42" s="117"/>
      <c r="AAN42" s="117"/>
      <c r="AAO42" s="117"/>
      <c r="AAP42" s="117"/>
      <c r="AAQ42" s="117"/>
      <c r="AAR42" s="117"/>
      <c r="AAS42" s="117"/>
      <c r="AAT42" s="117"/>
      <c r="AAU42" s="118"/>
      <c r="AAV42" s="116"/>
      <c r="AAW42" s="117"/>
      <c r="AAX42" s="117"/>
      <c r="AAY42" s="117"/>
      <c r="AAZ42" s="117"/>
      <c r="ABA42" s="117"/>
      <c r="ABB42" s="117"/>
      <c r="ABC42" s="117"/>
      <c r="ABD42" s="117"/>
      <c r="ABE42" s="117"/>
      <c r="ABF42" s="117"/>
      <c r="ABG42" s="117"/>
      <c r="ABH42" s="117"/>
      <c r="ABI42" s="117"/>
      <c r="ABJ42" s="117"/>
      <c r="ABK42" s="117"/>
      <c r="ABL42" s="117"/>
      <c r="ABM42" s="117"/>
      <c r="ABN42" s="117"/>
      <c r="ABO42" s="117"/>
      <c r="ABP42" s="117"/>
      <c r="ABQ42" s="117"/>
      <c r="ABR42" s="117"/>
      <c r="ABS42" s="117"/>
      <c r="ABT42" s="117"/>
      <c r="ABU42" s="117"/>
      <c r="ABV42" s="117"/>
      <c r="ABW42" s="117"/>
      <c r="ABX42" s="117"/>
      <c r="ABY42" s="117"/>
      <c r="ABZ42" s="117"/>
      <c r="ACA42" s="117"/>
      <c r="ACB42" s="117"/>
      <c r="ACC42" s="117"/>
      <c r="ACD42" s="117"/>
      <c r="ACE42" s="117"/>
      <c r="ACF42" s="117"/>
      <c r="ACG42" s="117"/>
      <c r="ACH42" s="117"/>
      <c r="ACI42" s="117"/>
      <c r="ACJ42" s="117"/>
      <c r="ACK42" s="117"/>
      <c r="ACL42" s="117"/>
      <c r="ACM42" s="117"/>
      <c r="ACN42" s="117"/>
      <c r="ACO42" s="117"/>
      <c r="ACP42" s="117"/>
      <c r="ACQ42" s="117"/>
      <c r="ACR42" s="117"/>
      <c r="ACS42" s="117"/>
      <c r="ACT42" s="117"/>
      <c r="ACU42" s="117"/>
      <c r="ACV42" s="117"/>
      <c r="ACW42" s="117"/>
      <c r="ACX42" s="117"/>
      <c r="ACY42" s="117"/>
      <c r="ACZ42" s="117"/>
      <c r="ADA42" s="117"/>
      <c r="ADB42" s="117"/>
      <c r="ADC42" s="117"/>
      <c r="ADD42" s="117"/>
      <c r="ADE42" s="117"/>
      <c r="ADF42" s="117"/>
      <c r="ADG42" s="117"/>
      <c r="ADH42" s="117"/>
      <c r="ADI42" s="117"/>
      <c r="ADJ42" s="117"/>
      <c r="ADK42" s="117"/>
      <c r="ADL42" s="117"/>
      <c r="ADM42" s="117"/>
      <c r="ADN42" s="117"/>
      <c r="ADO42" s="117"/>
      <c r="ADP42" s="117"/>
      <c r="ADQ42" s="117"/>
      <c r="ADR42" s="117"/>
      <c r="ADS42" s="117"/>
      <c r="ADT42" s="117"/>
      <c r="ADU42" s="117"/>
      <c r="ADV42" s="117"/>
      <c r="ADW42" s="117"/>
      <c r="ADX42" s="117"/>
      <c r="ADY42" s="117"/>
      <c r="ADZ42" s="117"/>
      <c r="AEA42" s="117"/>
      <c r="AEB42" s="117"/>
      <c r="AEC42" s="117"/>
      <c r="AED42" s="117"/>
      <c r="AEE42" s="117"/>
      <c r="AEF42" s="117"/>
      <c r="AEG42" s="118"/>
    </row>
  </sheetData>
  <sheetProtection sheet="1" objects="1" scenarios="1" insertRows="0" selectLockedCells="1"/>
  <mergeCells count="28"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98" t="s">
        <v>20</v>
      </c>
      <c r="C3" s="16">
        <v>0</v>
      </c>
    </row>
    <row r="4" spans="1:4" ht="19.5" customHeight="1" x14ac:dyDescent="0.25">
      <c r="A4" s="19"/>
      <c r="B4" s="1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82"/>
  <sheetViews>
    <sheetView tabSelected="1" view="pageBreakPreview" topLeftCell="A35" zoomScaleNormal="100" zoomScaleSheetLayoutView="100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72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59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60" t="s">
        <v>6</v>
      </c>
      <c r="D2" s="45" t="s">
        <v>12</v>
      </c>
    </row>
    <row r="3" spans="1:4" s="52" customFormat="1" x14ac:dyDescent="0.25">
      <c r="A3" s="5"/>
      <c r="B3" s="4"/>
      <c r="C3" s="161" t="s">
        <v>30</v>
      </c>
      <c r="D3" s="9"/>
    </row>
    <row r="4" spans="1:4" s="52" customFormat="1" x14ac:dyDescent="0.25">
      <c r="A4" s="1" t="s">
        <v>20</v>
      </c>
      <c r="B4" s="2">
        <v>12</v>
      </c>
      <c r="C4" s="162" t="s">
        <v>35</v>
      </c>
      <c r="D4" s="10"/>
    </row>
    <row r="5" spans="1:4" s="52" customFormat="1" x14ac:dyDescent="0.25">
      <c r="A5" s="1" t="s">
        <v>20</v>
      </c>
      <c r="B5" s="2">
        <v>1</v>
      </c>
      <c r="C5" s="162" t="s">
        <v>36</v>
      </c>
      <c r="D5" s="10"/>
    </row>
    <row r="6" spans="1:4" s="52" customFormat="1" x14ac:dyDescent="0.25">
      <c r="A6" s="1" t="s">
        <v>20</v>
      </c>
      <c r="B6" s="2">
        <v>1</v>
      </c>
      <c r="C6" s="162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62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62" t="s">
        <v>40</v>
      </c>
      <c r="D8" s="10"/>
    </row>
    <row r="9" spans="1:4" s="52" customFormat="1" x14ac:dyDescent="0.25">
      <c r="A9" s="1" t="s">
        <v>42</v>
      </c>
      <c r="B9" s="2">
        <v>1</v>
      </c>
      <c r="C9" s="162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62" t="s">
        <v>41</v>
      </c>
      <c r="D10" s="177" t="s">
        <v>88</v>
      </c>
    </row>
    <row r="11" spans="1:4" s="52" customFormat="1" x14ac:dyDescent="0.25">
      <c r="A11" s="1"/>
      <c r="B11" s="2"/>
      <c r="C11" s="163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64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62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62" t="s">
        <v>41</v>
      </c>
      <c r="D14" s="177" t="s">
        <v>88</v>
      </c>
    </row>
    <row r="15" spans="1:4" s="52" customFormat="1" x14ac:dyDescent="0.25">
      <c r="A15" s="1" t="s">
        <v>42</v>
      </c>
      <c r="B15" s="2">
        <v>1</v>
      </c>
      <c r="C15" s="164" t="s">
        <v>39</v>
      </c>
      <c r="D15" s="10"/>
    </row>
    <row r="16" spans="1:4" s="52" customFormat="1" x14ac:dyDescent="0.25">
      <c r="A16" s="1" t="s">
        <v>91</v>
      </c>
      <c r="B16" s="2">
        <v>8</v>
      </c>
      <c r="C16" s="164" t="s">
        <v>77</v>
      </c>
      <c r="D16" s="10"/>
    </row>
    <row r="17" spans="1:4" s="52" customFormat="1" ht="40.5" x14ac:dyDescent="0.25">
      <c r="A17" s="1" t="s">
        <v>45</v>
      </c>
      <c r="B17" s="2">
        <v>2</v>
      </c>
      <c r="C17" s="164" t="s">
        <v>73</v>
      </c>
      <c r="D17" s="10"/>
    </row>
    <row r="18" spans="1:4" s="52" customFormat="1" x14ac:dyDescent="0.25">
      <c r="A18" s="1" t="s">
        <v>20</v>
      </c>
      <c r="B18" s="2">
        <v>6</v>
      </c>
      <c r="C18" s="164" t="s">
        <v>79</v>
      </c>
      <c r="D18" s="10"/>
    </row>
    <row r="19" spans="1:4" s="52" customFormat="1" x14ac:dyDescent="0.25">
      <c r="A19" s="1"/>
      <c r="B19" s="2"/>
      <c r="C19" s="163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64" t="s">
        <v>80</v>
      </c>
      <c r="D20" s="10"/>
    </row>
    <row r="21" spans="1:4" s="52" customFormat="1" x14ac:dyDescent="0.25">
      <c r="A21" s="1" t="s">
        <v>20</v>
      </c>
      <c r="B21" s="2">
        <v>2</v>
      </c>
      <c r="C21" s="164" t="s">
        <v>81</v>
      </c>
      <c r="D21" s="10"/>
    </row>
    <row r="22" spans="1:4" s="52" customFormat="1" ht="51" x14ac:dyDescent="0.25">
      <c r="A22" s="1" t="s">
        <v>48</v>
      </c>
      <c r="B22" s="2">
        <v>2</v>
      </c>
      <c r="C22" s="162" t="s">
        <v>41</v>
      </c>
      <c r="D22" s="177" t="s">
        <v>88</v>
      </c>
    </row>
    <row r="23" spans="1:4" s="52" customFormat="1" ht="27" x14ac:dyDescent="0.25">
      <c r="A23" s="1" t="s">
        <v>20</v>
      </c>
      <c r="B23" s="2">
        <v>1</v>
      </c>
      <c r="C23" s="164" t="s">
        <v>82</v>
      </c>
      <c r="D23" s="10"/>
    </row>
    <row r="24" spans="1:4" s="52" customFormat="1" ht="51" x14ac:dyDescent="0.25">
      <c r="A24" s="1" t="s">
        <v>48</v>
      </c>
      <c r="B24" s="2">
        <v>3</v>
      </c>
      <c r="C24" s="164" t="s">
        <v>83</v>
      </c>
      <c r="D24" s="177" t="s">
        <v>88</v>
      </c>
    </row>
    <row r="25" spans="1:4" s="52" customFormat="1" x14ac:dyDescent="0.25">
      <c r="A25" s="1"/>
      <c r="B25" s="2"/>
      <c r="C25" s="164"/>
      <c r="D25" s="10"/>
    </row>
    <row r="26" spans="1:4" s="52" customFormat="1" x14ac:dyDescent="0.25">
      <c r="A26" s="2"/>
      <c r="B26" s="2"/>
      <c r="C26" s="163" t="s">
        <v>33</v>
      </c>
      <c r="D26" s="10"/>
    </row>
    <row r="27" spans="1:4" s="52" customFormat="1" x14ac:dyDescent="0.25">
      <c r="A27" s="156" t="s">
        <v>91</v>
      </c>
      <c r="B27" s="2">
        <v>2</v>
      </c>
      <c r="C27" s="164" t="s">
        <v>86</v>
      </c>
      <c r="D27" s="10"/>
    </row>
    <row r="28" spans="1:4" s="52" customFormat="1" ht="27" x14ac:dyDescent="0.25">
      <c r="A28" s="2" t="s">
        <v>50</v>
      </c>
      <c r="B28" s="2">
        <v>4</v>
      </c>
      <c r="C28" s="164" t="s">
        <v>87</v>
      </c>
      <c r="D28" s="10"/>
    </row>
    <row r="29" spans="1:4" s="52" customFormat="1" x14ac:dyDescent="0.25">
      <c r="A29" s="50" t="s">
        <v>50</v>
      </c>
      <c r="B29" s="50">
        <v>2</v>
      </c>
      <c r="C29" s="166" t="s">
        <v>84</v>
      </c>
      <c r="D29" s="51"/>
    </row>
    <row r="30" spans="1:4" s="52" customFormat="1" ht="27" x14ac:dyDescent="0.25">
      <c r="A30" s="50" t="s">
        <v>50</v>
      </c>
      <c r="B30" s="50">
        <v>5</v>
      </c>
      <c r="C30" s="166" t="s">
        <v>85</v>
      </c>
      <c r="D30" s="51"/>
    </row>
    <row r="31" spans="1:4" s="52" customFormat="1" ht="51" x14ac:dyDescent="0.25">
      <c r="A31" s="50" t="s">
        <v>48</v>
      </c>
      <c r="B31" s="50">
        <v>2</v>
      </c>
      <c r="C31" s="164" t="s">
        <v>83</v>
      </c>
      <c r="D31" s="176" t="s">
        <v>88</v>
      </c>
    </row>
    <row r="32" spans="1:4" s="52" customFormat="1" ht="27" x14ac:dyDescent="0.25">
      <c r="A32" s="50" t="s">
        <v>44</v>
      </c>
      <c r="B32" s="50">
        <v>3</v>
      </c>
      <c r="C32" s="174" t="s">
        <v>89</v>
      </c>
      <c r="D32" s="175"/>
    </row>
    <row r="33" spans="1:8" s="52" customFormat="1" x14ac:dyDescent="0.25">
      <c r="A33" s="2" t="s">
        <v>50</v>
      </c>
      <c r="B33" s="2">
        <v>2</v>
      </c>
      <c r="C33" s="178" t="s">
        <v>90</v>
      </c>
      <c r="D33" s="173"/>
    </row>
    <row r="34" spans="1:8" s="52" customFormat="1" ht="40.5" x14ac:dyDescent="0.25">
      <c r="A34" s="179" t="s">
        <v>45</v>
      </c>
      <c r="B34" s="179">
        <v>1</v>
      </c>
      <c r="C34" s="180" t="s">
        <v>102</v>
      </c>
      <c r="D34" s="181"/>
    </row>
    <row r="35" spans="1:8" s="52" customFormat="1" ht="40.5" x14ac:dyDescent="0.25">
      <c r="A35" s="179" t="s">
        <v>94</v>
      </c>
      <c r="B35" s="179">
        <v>3</v>
      </c>
      <c r="C35" s="180" t="s">
        <v>105</v>
      </c>
      <c r="D35" s="181"/>
    </row>
    <row r="36" spans="1:8" s="52" customFormat="1" ht="27" x14ac:dyDescent="0.25">
      <c r="A36" s="179" t="s">
        <v>44</v>
      </c>
      <c r="B36" s="179">
        <v>3</v>
      </c>
      <c r="C36" s="180" t="s">
        <v>106</v>
      </c>
      <c r="D36" s="181"/>
    </row>
    <row r="37" spans="1:8" s="52" customFormat="1" ht="14.25" thickBot="1" x14ac:dyDescent="0.3">
      <c r="A37" s="157"/>
      <c r="B37" s="157"/>
      <c r="C37" s="167"/>
      <c r="D37" s="158"/>
    </row>
    <row r="38" spans="1:8" ht="14.25" thickBot="1" x14ac:dyDescent="0.3">
      <c r="A38" s="47" t="s">
        <v>21</v>
      </c>
      <c r="B38" s="47">
        <f>SUM(B3:B37)</f>
        <v>90</v>
      </c>
      <c r="C38" s="168" t="s">
        <v>28</v>
      </c>
      <c r="D38" s="48"/>
    </row>
    <row r="39" spans="1:8" ht="15" thickBot="1" x14ac:dyDescent="0.35">
      <c r="A39" s="49"/>
      <c r="B39" s="49"/>
      <c r="C39" s="169"/>
      <c r="D39" s="49"/>
    </row>
    <row r="40" spans="1:8" ht="18.75" thickBot="1" x14ac:dyDescent="0.3">
      <c r="A40" s="42" t="s">
        <v>13</v>
      </c>
      <c r="B40" s="43">
        <v>2</v>
      </c>
      <c r="C40" s="159" t="s">
        <v>22</v>
      </c>
      <c r="D40" s="53">
        <f>$D$1+7</f>
        <v>44956</v>
      </c>
    </row>
    <row r="41" spans="1:8" ht="27.75" thickBot="1" x14ac:dyDescent="0.3">
      <c r="A41" s="45" t="s">
        <v>2</v>
      </c>
      <c r="B41" s="46" t="s">
        <v>14</v>
      </c>
      <c r="C41" s="160" t="s">
        <v>6</v>
      </c>
      <c r="D41" s="45" t="s">
        <v>12</v>
      </c>
    </row>
    <row r="42" spans="1:8" x14ac:dyDescent="0.25">
      <c r="A42" s="5"/>
      <c r="B42" s="4"/>
      <c r="C42" s="161" t="s">
        <v>30</v>
      </c>
      <c r="D42" s="9"/>
    </row>
    <row r="43" spans="1:8" ht="40.5" x14ac:dyDescent="0.25">
      <c r="A43" s="1" t="s">
        <v>45</v>
      </c>
      <c r="B43" s="2">
        <v>5</v>
      </c>
      <c r="C43" s="164" t="s">
        <v>107</v>
      </c>
      <c r="D43" s="10"/>
    </row>
    <row r="44" spans="1:8" ht="27" x14ac:dyDescent="0.25">
      <c r="A44" s="1" t="s">
        <v>91</v>
      </c>
      <c r="B44" s="2">
        <v>5</v>
      </c>
      <c r="C44" s="164" t="s">
        <v>124</v>
      </c>
      <c r="D44" s="10"/>
    </row>
    <row r="45" spans="1:8" ht="27" x14ac:dyDescent="0.25">
      <c r="A45" s="1" t="s">
        <v>91</v>
      </c>
      <c r="B45" s="2">
        <v>5</v>
      </c>
      <c r="C45" s="164" t="s">
        <v>128</v>
      </c>
      <c r="D45" s="10"/>
    </row>
    <row r="46" spans="1:8" ht="51" x14ac:dyDescent="0.25">
      <c r="A46" s="1" t="s">
        <v>98</v>
      </c>
      <c r="B46" s="2">
        <v>7</v>
      </c>
      <c r="C46" s="164" t="s">
        <v>127</v>
      </c>
      <c r="D46" s="177" t="s">
        <v>126</v>
      </c>
    </row>
    <row r="47" spans="1:8" x14ac:dyDescent="0.25">
      <c r="A47" s="1" t="s">
        <v>42</v>
      </c>
      <c r="B47" s="2">
        <v>2</v>
      </c>
      <c r="C47" s="164" t="s">
        <v>39</v>
      </c>
      <c r="D47" s="10"/>
    </row>
    <row r="48" spans="1:8" ht="12.75" customHeight="1" x14ac:dyDescent="0.25">
      <c r="A48" s="1"/>
      <c r="B48" s="2"/>
      <c r="C48" s="163" t="s">
        <v>31</v>
      </c>
      <c r="D48" s="10"/>
      <c r="F48" s="31"/>
      <c r="G48" s="32"/>
      <c r="H48" s="33"/>
    </row>
    <row r="49" spans="1:8" ht="15" x14ac:dyDescent="0.25">
      <c r="A49" s="1"/>
      <c r="B49" s="2"/>
      <c r="C49" s="162"/>
      <c r="D49" s="10"/>
      <c r="F49" s="34"/>
      <c r="G49" s="30"/>
      <c r="H49" s="30"/>
    </row>
    <row r="50" spans="1:8" x14ac:dyDescent="0.25">
      <c r="A50" s="1"/>
      <c r="B50" s="2"/>
      <c r="C50" s="162"/>
      <c r="D50" s="10"/>
      <c r="F50" s="36"/>
      <c r="G50" s="37"/>
      <c r="H50" s="37"/>
    </row>
    <row r="51" spans="1:8" x14ac:dyDescent="0.25">
      <c r="A51" s="1"/>
      <c r="B51" s="2"/>
      <c r="C51" s="163" t="s">
        <v>32</v>
      </c>
      <c r="D51" s="10"/>
      <c r="F51" s="36"/>
      <c r="G51" s="37"/>
      <c r="H51" s="37"/>
    </row>
    <row r="52" spans="1:8" x14ac:dyDescent="0.25">
      <c r="A52" s="1"/>
      <c r="B52" s="2"/>
      <c r="C52" s="162"/>
      <c r="D52" s="10"/>
      <c r="F52" s="36"/>
      <c r="G52" s="37"/>
      <c r="H52" s="37"/>
    </row>
    <row r="53" spans="1:8" x14ac:dyDescent="0.25">
      <c r="A53" s="1"/>
      <c r="B53" s="2"/>
      <c r="C53" s="162"/>
      <c r="D53" s="10"/>
      <c r="F53" s="36"/>
      <c r="G53" s="37"/>
      <c r="H53" s="37"/>
    </row>
    <row r="54" spans="1:8" x14ac:dyDescent="0.25">
      <c r="A54" s="2"/>
      <c r="B54" s="2"/>
      <c r="C54" s="163" t="s">
        <v>33</v>
      </c>
      <c r="D54" s="10"/>
      <c r="F54" s="36"/>
      <c r="G54" s="37"/>
      <c r="H54" s="37"/>
    </row>
    <row r="55" spans="1:8" x14ac:dyDescent="0.25">
      <c r="A55" s="2"/>
      <c r="B55" s="2"/>
      <c r="C55" s="162"/>
      <c r="D55" s="10"/>
      <c r="F55" s="36"/>
      <c r="G55" s="37"/>
      <c r="H55" s="37"/>
    </row>
    <row r="56" spans="1:8" x14ac:dyDescent="0.25">
      <c r="A56" s="2"/>
      <c r="B56" s="2"/>
      <c r="C56" s="162"/>
      <c r="D56" s="10"/>
      <c r="F56" s="36"/>
      <c r="G56" s="37"/>
      <c r="H56" s="37"/>
    </row>
    <row r="57" spans="1:8" x14ac:dyDescent="0.25">
      <c r="A57" s="50"/>
      <c r="B57" s="50"/>
      <c r="C57" s="165"/>
      <c r="D57" s="51"/>
      <c r="F57" s="36"/>
      <c r="G57" s="37"/>
      <c r="H57" s="37"/>
    </row>
    <row r="58" spans="1:8" x14ac:dyDescent="0.25">
      <c r="A58" s="50"/>
      <c r="B58" s="50"/>
      <c r="C58" s="165"/>
      <c r="D58" s="51"/>
      <c r="F58" s="38"/>
      <c r="G58" s="39"/>
      <c r="H58" s="39"/>
    </row>
    <row r="59" spans="1:8" ht="15" thickBot="1" x14ac:dyDescent="0.35">
      <c r="A59" s="3"/>
      <c r="B59" s="3"/>
      <c r="C59" s="170"/>
      <c r="D59" s="11"/>
      <c r="F59" s="40"/>
      <c r="G59" s="40"/>
      <c r="H59" s="40"/>
    </row>
    <row r="60" spans="1:8" ht="14.25" thickBot="1" x14ac:dyDescent="0.3">
      <c r="A60" s="47" t="s">
        <v>21</v>
      </c>
      <c r="B60" s="47">
        <f>SUM(B42:B59)</f>
        <v>24</v>
      </c>
      <c r="C60" s="168" t="s">
        <v>28</v>
      </c>
      <c r="D60" s="48"/>
    </row>
    <row r="61" spans="1:8" ht="15" thickBot="1" x14ac:dyDescent="0.35">
      <c r="A61" s="49"/>
      <c r="B61" s="49"/>
      <c r="C61" s="169"/>
      <c r="D61" s="49"/>
    </row>
    <row r="62" spans="1:8" ht="18.75" thickBot="1" x14ac:dyDescent="0.3">
      <c r="A62" s="42" t="s">
        <v>13</v>
      </c>
      <c r="B62" s="43">
        <v>3</v>
      </c>
      <c r="C62" s="159" t="s">
        <v>22</v>
      </c>
      <c r="D62" s="53">
        <f>$D$40+7</f>
        <v>44963</v>
      </c>
    </row>
    <row r="63" spans="1:8" ht="27.75" thickBot="1" x14ac:dyDescent="0.3">
      <c r="A63" s="45" t="s">
        <v>2</v>
      </c>
      <c r="B63" s="46" t="s">
        <v>14</v>
      </c>
      <c r="C63" s="160" t="s">
        <v>6</v>
      </c>
      <c r="D63" s="45" t="s">
        <v>12</v>
      </c>
    </row>
    <row r="64" spans="1:8" x14ac:dyDescent="0.25">
      <c r="A64" s="5"/>
      <c r="B64" s="4"/>
      <c r="C64" s="161" t="s">
        <v>30</v>
      </c>
      <c r="D64" s="9"/>
    </row>
    <row r="65" spans="1:4" x14ac:dyDescent="0.25">
      <c r="A65" s="1"/>
      <c r="B65" s="2"/>
      <c r="C65" s="162"/>
      <c r="D65" s="10"/>
    </row>
    <row r="66" spans="1:4" x14ac:dyDescent="0.25">
      <c r="A66" s="1"/>
      <c r="B66" s="2"/>
      <c r="C66" s="162"/>
      <c r="D66" s="10"/>
    </row>
    <row r="67" spans="1:4" x14ac:dyDescent="0.25">
      <c r="A67" s="1"/>
      <c r="B67" s="2"/>
      <c r="C67" s="163" t="s">
        <v>31</v>
      </c>
      <c r="D67" s="10"/>
    </row>
    <row r="68" spans="1:4" x14ac:dyDescent="0.25">
      <c r="A68" s="1"/>
      <c r="B68" s="2"/>
      <c r="C68" s="162"/>
      <c r="D68" s="10"/>
    </row>
    <row r="69" spans="1:4" x14ac:dyDescent="0.25">
      <c r="A69" s="1"/>
      <c r="B69" s="2"/>
      <c r="C69" s="162"/>
      <c r="D69" s="10"/>
    </row>
    <row r="70" spans="1:4" x14ac:dyDescent="0.25">
      <c r="A70" s="1"/>
      <c r="B70" s="2"/>
      <c r="C70" s="163" t="s">
        <v>32</v>
      </c>
      <c r="D70" s="10"/>
    </row>
    <row r="71" spans="1:4" x14ac:dyDescent="0.25">
      <c r="A71" s="1"/>
      <c r="B71" s="2"/>
      <c r="C71" s="162"/>
      <c r="D71" s="10"/>
    </row>
    <row r="72" spans="1:4" x14ac:dyDescent="0.25">
      <c r="A72" s="1"/>
      <c r="B72" s="2"/>
      <c r="C72" s="162"/>
      <c r="D72" s="10"/>
    </row>
    <row r="73" spans="1:4" x14ac:dyDescent="0.25">
      <c r="A73" s="2"/>
      <c r="B73" s="2"/>
      <c r="C73" s="163" t="s">
        <v>33</v>
      </c>
      <c r="D73" s="10"/>
    </row>
    <row r="74" spans="1:4" x14ac:dyDescent="0.25">
      <c r="A74" s="2"/>
      <c r="B74" s="2"/>
      <c r="C74" s="162"/>
      <c r="D74" s="10"/>
    </row>
    <row r="75" spans="1:4" x14ac:dyDescent="0.25">
      <c r="A75" s="2"/>
      <c r="B75" s="2"/>
      <c r="C75" s="162"/>
      <c r="D75" s="10"/>
    </row>
    <row r="76" spans="1:4" x14ac:dyDescent="0.25">
      <c r="A76" s="50"/>
      <c r="B76" s="50"/>
      <c r="C76" s="165"/>
      <c r="D76" s="51"/>
    </row>
    <row r="77" spans="1:4" x14ac:dyDescent="0.25">
      <c r="A77" s="50"/>
      <c r="B77" s="50"/>
      <c r="C77" s="165"/>
      <c r="D77" s="51"/>
    </row>
    <row r="78" spans="1:4" ht="14.25" thickBot="1" x14ac:dyDescent="0.3">
      <c r="A78" s="3"/>
      <c r="B78" s="3"/>
      <c r="C78" s="170"/>
      <c r="D78" s="11"/>
    </row>
    <row r="79" spans="1:4" ht="14.25" thickBot="1" x14ac:dyDescent="0.3">
      <c r="A79" s="47" t="s">
        <v>21</v>
      </c>
      <c r="B79" s="47">
        <f>SUM(B64:B78)</f>
        <v>0</v>
      </c>
      <c r="C79" s="168" t="s">
        <v>28</v>
      </c>
      <c r="D79" s="48"/>
    </row>
    <row r="80" spans="1:4" ht="15" thickBot="1" x14ac:dyDescent="0.35">
      <c r="A80" s="49"/>
      <c r="B80" s="49"/>
      <c r="C80" s="169"/>
      <c r="D80" s="49"/>
    </row>
    <row r="81" spans="1:4" ht="18.75" thickBot="1" x14ac:dyDescent="0.3">
      <c r="A81" s="42" t="s">
        <v>13</v>
      </c>
      <c r="B81" s="43">
        <v>4</v>
      </c>
      <c r="C81" s="159" t="s">
        <v>22</v>
      </c>
      <c r="D81" s="53">
        <f>$D$62+7</f>
        <v>44970</v>
      </c>
    </row>
    <row r="82" spans="1:4" ht="27.75" thickBot="1" x14ac:dyDescent="0.3">
      <c r="A82" s="45" t="s">
        <v>2</v>
      </c>
      <c r="B82" s="46" t="s">
        <v>14</v>
      </c>
      <c r="C82" s="160" t="s">
        <v>6</v>
      </c>
      <c r="D82" s="45" t="s">
        <v>12</v>
      </c>
    </row>
    <row r="83" spans="1:4" x14ac:dyDescent="0.25">
      <c r="A83" s="5" t="s">
        <v>34</v>
      </c>
      <c r="B83" s="4">
        <v>90</v>
      </c>
      <c r="C83" s="171" t="s">
        <v>34</v>
      </c>
      <c r="D83" s="9"/>
    </row>
    <row r="84" spans="1:4" ht="14.25" thickBot="1" x14ac:dyDescent="0.3">
      <c r="A84" s="3"/>
      <c r="B84" s="3"/>
      <c r="C84" s="170"/>
      <c r="D84" s="11"/>
    </row>
    <row r="85" spans="1:4" ht="14.25" thickBot="1" x14ac:dyDescent="0.3">
      <c r="A85" s="47" t="s">
        <v>21</v>
      </c>
      <c r="B85" s="47">
        <f>SUM(B83:B84)</f>
        <v>90</v>
      </c>
      <c r="C85" s="168" t="s">
        <v>28</v>
      </c>
      <c r="D85" s="48"/>
    </row>
    <row r="86" spans="1:4" ht="15" thickBot="1" x14ac:dyDescent="0.35">
      <c r="A86" s="49"/>
      <c r="B86" s="49"/>
      <c r="C86" s="169"/>
      <c r="D86" s="49"/>
    </row>
    <row r="87" spans="1:4" ht="18.75" thickBot="1" x14ac:dyDescent="0.3">
      <c r="A87" s="42" t="s">
        <v>13</v>
      </c>
      <c r="B87" s="43">
        <v>5</v>
      </c>
      <c r="C87" s="159" t="s">
        <v>22</v>
      </c>
      <c r="D87" s="53">
        <f>$D$81+7</f>
        <v>44977</v>
      </c>
    </row>
    <row r="88" spans="1:4" ht="27.75" thickBot="1" x14ac:dyDescent="0.3">
      <c r="A88" s="45" t="s">
        <v>2</v>
      </c>
      <c r="B88" s="46" t="s">
        <v>14</v>
      </c>
      <c r="C88" s="160" t="s">
        <v>6</v>
      </c>
      <c r="D88" s="45" t="s">
        <v>12</v>
      </c>
    </row>
    <row r="89" spans="1:4" x14ac:dyDescent="0.25">
      <c r="A89" s="5"/>
      <c r="B89" s="4"/>
      <c r="C89" s="161" t="s">
        <v>30</v>
      </c>
      <c r="D89" s="9"/>
    </row>
    <row r="90" spans="1:4" x14ac:dyDescent="0.25">
      <c r="A90" s="1" t="s">
        <v>43</v>
      </c>
      <c r="B90" s="2">
        <v>24</v>
      </c>
      <c r="C90" s="164" t="s">
        <v>78</v>
      </c>
      <c r="D90" s="10"/>
    </row>
    <row r="91" spans="1:4" x14ac:dyDescent="0.25">
      <c r="A91" s="1"/>
      <c r="B91" s="2"/>
      <c r="C91" s="162"/>
      <c r="D91" s="10"/>
    </row>
    <row r="92" spans="1:4" x14ac:dyDescent="0.25">
      <c r="A92" s="1"/>
      <c r="B92" s="2"/>
      <c r="C92" s="163" t="s">
        <v>31</v>
      </c>
      <c r="D92" s="10"/>
    </row>
    <row r="93" spans="1:4" x14ac:dyDescent="0.25">
      <c r="A93" s="1"/>
      <c r="B93" s="2"/>
      <c r="C93" s="162"/>
      <c r="D93" s="10"/>
    </row>
    <row r="94" spans="1:4" x14ac:dyDescent="0.25">
      <c r="A94" s="1"/>
      <c r="B94" s="2"/>
      <c r="C94" s="162"/>
      <c r="D94" s="10"/>
    </row>
    <row r="95" spans="1:4" x14ac:dyDescent="0.25">
      <c r="A95" s="1"/>
      <c r="B95" s="2"/>
      <c r="C95" s="163" t="s">
        <v>32</v>
      </c>
      <c r="D95" s="10"/>
    </row>
    <row r="96" spans="1:4" x14ac:dyDescent="0.25">
      <c r="A96" s="1"/>
      <c r="B96" s="2"/>
      <c r="C96" s="162"/>
      <c r="D96" s="10"/>
    </row>
    <row r="97" spans="1:4" x14ac:dyDescent="0.25">
      <c r="A97" s="1"/>
      <c r="B97" s="2"/>
      <c r="C97" s="162"/>
      <c r="D97" s="10"/>
    </row>
    <row r="98" spans="1:4" x14ac:dyDescent="0.25">
      <c r="A98" s="2"/>
      <c r="B98" s="2"/>
      <c r="C98" s="163" t="s">
        <v>33</v>
      </c>
      <c r="D98" s="10"/>
    </row>
    <row r="99" spans="1:4" x14ac:dyDescent="0.25">
      <c r="A99" s="2"/>
      <c r="B99" s="2"/>
      <c r="C99" s="162"/>
      <c r="D99" s="10"/>
    </row>
    <row r="100" spans="1:4" x14ac:dyDescent="0.25">
      <c r="A100" s="2"/>
      <c r="B100" s="2"/>
      <c r="C100" s="162"/>
      <c r="D100" s="10"/>
    </row>
    <row r="101" spans="1:4" x14ac:dyDescent="0.25">
      <c r="A101" s="50"/>
      <c r="B101" s="50"/>
      <c r="C101" s="165"/>
      <c r="D101" s="51"/>
    </row>
    <row r="102" spans="1:4" x14ac:dyDescent="0.25">
      <c r="A102" s="50"/>
      <c r="B102" s="50"/>
      <c r="C102" s="165"/>
      <c r="D102" s="51"/>
    </row>
    <row r="103" spans="1:4" ht="14.25" thickBot="1" x14ac:dyDescent="0.3">
      <c r="A103" s="3"/>
      <c r="B103" s="3"/>
      <c r="C103" s="170"/>
      <c r="D103" s="11"/>
    </row>
    <row r="104" spans="1:4" ht="14.25" thickBot="1" x14ac:dyDescent="0.3">
      <c r="A104" s="47" t="s">
        <v>21</v>
      </c>
      <c r="B104" s="47">
        <f>SUM(B89:B103)</f>
        <v>24</v>
      </c>
      <c r="C104" s="168" t="s">
        <v>28</v>
      </c>
      <c r="D104" s="48"/>
    </row>
    <row r="105" spans="1:4" ht="15" thickBot="1" x14ac:dyDescent="0.35">
      <c r="A105" s="49"/>
      <c r="B105" s="49"/>
      <c r="C105" s="169"/>
      <c r="D105" s="49"/>
    </row>
    <row r="106" spans="1:4" ht="18.75" thickBot="1" x14ac:dyDescent="0.3">
      <c r="A106" s="42" t="s">
        <v>13</v>
      </c>
      <c r="B106" s="43">
        <v>6</v>
      </c>
      <c r="C106" s="159" t="s">
        <v>22</v>
      </c>
      <c r="D106" s="53">
        <f>$D$87+7</f>
        <v>44984</v>
      </c>
    </row>
    <row r="107" spans="1:4" ht="27.75" thickBot="1" x14ac:dyDescent="0.3">
      <c r="A107" s="45" t="s">
        <v>2</v>
      </c>
      <c r="B107" s="46" t="s">
        <v>14</v>
      </c>
      <c r="C107" s="160" t="s">
        <v>6</v>
      </c>
      <c r="D107" s="45" t="s">
        <v>12</v>
      </c>
    </row>
    <row r="108" spans="1:4" x14ac:dyDescent="0.25">
      <c r="A108" s="5"/>
      <c r="B108" s="4"/>
      <c r="C108" s="161" t="s">
        <v>30</v>
      </c>
      <c r="D108" s="9"/>
    </row>
    <row r="109" spans="1:4" x14ac:dyDescent="0.25">
      <c r="A109" s="1"/>
      <c r="B109" s="2"/>
      <c r="C109" s="162"/>
      <c r="D109" s="10"/>
    </row>
    <row r="110" spans="1:4" x14ac:dyDescent="0.25">
      <c r="A110" s="1"/>
      <c r="B110" s="2"/>
      <c r="C110" s="162"/>
      <c r="D110" s="10"/>
    </row>
    <row r="111" spans="1:4" x14ac:dyDescent="0.25">
      <c r="A111" s="1"/>
      <c r="B111" s="2"/>
      <c r="C111" s="163" t="s">
        <v>31</v>
      </c>
      <c r="D111" s="10"/>
    </row>
    <row r="112" spans="1:4" x14ac:dyDescent="0.25">
      <c r="A112" s="1"/>
      <c r="B112" s="2"/>
      <c r="C112" s="162"/>
      <c r="D112" s="10"/>
    </row>
    <row r="113" spans="1:4" x14ac:dyDescent="0.25">
      <c r="A113" s="1"/>
      <c r="B113" s="2"/>
      <c r="C113" s="162"/>
      <c r="D113" s="10"/>
    </row>
    <row r="114" spans="1:4" x14ac:dyDescent="0.25">
      <c r="A114" s="1"/>
      <c r="B114" s="2"/>
      <c r="C114" s="163" t="s">
        <v>32</v>
      </c>
      <c r="D114" s="10"/>
    </row>
    <row r="115" spans="1:4" x14ac:dyDescent="0.25">
      <c r="A115" s="1"/>
      <c r="B115" s="2"/>
      <c r="C115" s="162"/>
      <c r="D115" s="10"/>
    </row>
    <row r="116" spans="1:4" x14ac:dyDescent="0.25">
      <c r="A116" s="1"/>
      <c r="B116" s="2"/>
      <c r="C116" s="162"/>
      <c r="D116" s="10"/>
    </row>
    <row r="117" spans="1:4" x14ac:dyDescent="0.25">
      <c r="A117" s="2"/>
      <c r="B117" s="2"/>
      <c r="C117" s="163" t="s">
        <v>33</v>
      </c>
      <c r="D117" s="10"/>
    </row>
    <row r="118" spans="1:4" x14ac:dyDescent="0.25">
      <c r="A118" s="2"/>
      <c r="B118" s="2"/>
      <c r="C118" s="162"/>
      <c r="D118" s="10"/>
    </row>
    <row r="119" spans="1:4" x14ac:dyDescent="0.25">
      <c r="A119" s="2"/>
      <c r="B119" s="2"/>
      <c r="C119" s="162"/>
      <c r="D119" s="10"/>
    </row>
    <row r="120" spans="1:4" x14ac:dyDescent="0.25">
      <c r="A120" s="50"/>
      <c r="B120" s="50"/>
      <c r="C120" s="165"/>
      <c r="D120" s="51"/>
    </row>
    <row r="121" spans="1:4" x14ac:dyDescent="0.25">
      <c r="A121" s="50"/>
      <c r="B121" s="50"/>
      <c r="C121" s="165"/>
      <c r="D121" s="51"/>
    </row>
    <row r="122" spans="1:4" ht="14.25" thickBot="1" x14ac:dyDescent="0.3">
      <c r="A122" s="3"/>
      <c r="B122" s="3"/>
      <c r="C122" s="170"/>
      <c r="D122" s="11"/>
    </row>
    <row r="123" spans="1:4" ht="14.25" thickBot="1" x14ac:dyDescent="0.3">
      <c r="A123" s="47" t="s">
        <v>21</v>
      </c>
      <c r="B123" s="47">
        <f>SUM(B108:B122)</f>
        <v>0</v>
      </c>
      <c r="C123" s="168" t="s">
        <v>28</v>
      </c>
      <c r="D123" s="48"/>
    </row>
    <row r="124" spans="1:4" ht="15" thickBot="1" x14ac:dyDescent="0.35">
      <c r="A124" s="49"/>
      <c r="B124" s="49"/>
      <c r="C124" s="169"/>
      <c r="D124" s="49"/>
    </row>
    <row r="125" spans="1:4" ht="18.75" thickBot="1" x14ac:dyDescent="0.3">
      <c r="A125" s="42" t="s">
        <v>13</v>
      </c>
      <c r="B125" s="43">
        <v>7</v>
      </c>
      <c r="C125" s="159" t="s">
        <v>22</v>
      </c>
      <c r="D125" s="53">
        <f>$D$106+7</f>
        <v>44991</v>
      </c>
    </row>
    <row r="126" spans="1:4" ht="27.75" thickBot="1" x14ac:dyDescent="0.3">
      <c r="A126" s="45" t="s">
        <v>2</v>
      </c>
      <c r="B126" s="46" t="s">
        <v>14</v>
      </c>
      <c r="C126" s="160" t="s">
        <v>6</v>
      </c>
      <c r="D126" s="45" t="s">
        <v>12</v>
      </c>
    </row>
    <row r="127" spans="1:4" x14ac:dyDescent="0.25">
      <c r="A127" s="5"/>
      <c r="B127" s="4"/>
      <c r="C127" s="161" t="s">
        <v>30</v>
      </c>
      <c r="D127" s="9"/>
    </row>
    <row r="128" spans="1:4" x14ac:dyDescent="0.25">
      <c r="A128" s="1"/>
      <c r="B128" s="2"/>
      <c r="C128" s="162"/>
      <c r="D128" s="10"/>
    </row>
    <row r="129" spans="1:4" x14ac:dyDescent="0.25">
      <c r="A129" s="1"/>
      <c r="B129" s="2"/>
      <c r="C129" s="162"/>
      <c r="D129" s="10"/>
    </row>
    <row r="130" spans="1:4" x14ac:dyDescent="0.25">
      <c r="A130" s="1"/>
      <c r="B130" s="2"/>
      <c r="C130" s="163" t="s">
        <v>31</v>
      </c>
      <c r="D130" s="10"/>
    </row>
    <row r="131" spans="1:4" x14ac:dyDescent="0.25">
      <c r="A131" s="1"/>
      <c r="B131" s="2"/>
      <c r="C131" s="162"/>
      <c r="D131" s="10"/>
    </row>
    <row r="132" spans="1:4" x14ac:dyDescent="0.25">
      <c r="A132" s="1"/>
      <c r="B132" s="2"/>
      <c r="C132" s="162"/>
      <c r="D132" s="10"/>
    </row>
    <row r="133" spans="1:4" x14ac:dyDescent="0.25">
      <c r="A133" s="1"/>
      <c r="B133" s="2"/>
      <c r="C133" s="163" t="s">
        <v>32</v>
      </c>
      <c r="D133" s="10"/>
    </row>
    <row r="134" spans="1:4" x14ac:dyDescent="0.25">
      <c r="A134" s="1"/>
      <c r="B134" s="2"/>
      <c r="C134" s="162"/>
      <c r="D134" s="10"/>
    </row>
    <row r="135" spans="1:4" x14ac:dyDescent="0.25">
      <c r="A135" s="1"/>
      <c r="B135" s="2"/>
      <c r="C135" s="162"/>
      <c r="D135" s="10"/>
    </row>
    <row r="136" spans="1:4" x14ac:dyDescent="0.25">
      <c r="A136" s="2"/>
      <c r="B136" s="2"/>
      <c r="C136" s="163" t="s">
        <v>33</v>
      </c>
      <c r="D136" s="10"/>
    </row>
    <row r="137" spans="1:4" x14ac:dyDescent="0.25">
      <c r="A137" s="2"/>
      <c r="B137" s="2"/>
      <c r="C137" s="162"/>
      <c r="D137" s="10"/>
    </row>
    <row r="138" spans="1:4" x14ac:dyDescent="0.25">
      <c r="A138" s="2"/>
      <c r="B138" s="2"/>
      <c r="C138" s="162"/>
      <c r="D138" s="10"/>
    </row>
    <row r="139" spans="1:4" x14ac:dyDescent="0.25">
      <c r="A139" s="50"/>
      <c r="B139" s="50"/>
      <c r="C139" s="165"/>
      <c r="D139" s="51"/>
    </row>
    <row r="140" spans="1:4" x14ac:dyDescent="0.25">
      <c r="A140" s="50"/>
      <c r="B140" s="50"/>
      <c r="C140" s="165"/>
      <c r="D140" s="51"/>
    </row>
    <row r="141" spans="1:4" ht="14.25" thickBot="1" x14ac:dyDescent="0.3">
      <c r="A141" s="3"/>
      <c r="B141" s="3"/>
      <c r="C141" s="170"/>
      <c r="D141" s="11"/>
    </row>
    <row r="142" spans="1:4" ht="14.25" thickBot="1" x14ac:dyDescent="0.3">
      <c r="A142" s="47" t="s">
        <v>21</v>
      </c>
      <c r="B142" s="47">
        <f>SUM(B127:B141)</f>
        <v>0</v>
      </c>
      <c r="C142" s="168" t="s">
        <v>28</v>
      </c>
      <c r="D142" s="48"/>
    </row>
    <row r="143" spans="1:4" ht="15" thickBot="1" x14ac:dyDescent="0.35">
      <c r="A143" s="49"/>
      <c r="B143" s="49"/>
      <c r="C143" s="169"/>
      <c r="D143" s="49"/>
    </row>
    <row r="144" spans="1:4" ht="18.75" thickBot="1" x14ac:dyDescent="0.3">
      <c r="A144" s="42" t="s">
        <v>13</v>
      </c>
      <c r="B144" s="43">
        <v>8</v>
      </c>
      <c r="C144" s="159" t="s">
        <v>22</v>
      </c>
      <c r="D144" s="53">
        <f>$D$125+7</f>
        <v>44998</v>
      </c>
    </row>
    <row r="145" spans="1:4" ht="27.75" thickBot="1" x14ac:dyDescent="0.3">
      <c r="A145" s="45" t="s">
        <v>2</v>
      </c>
      <c r="B145" s="46" t="s">
        <v>14</v>
      </c>
      <c r="C145" s="160" t="s">
        <v>6</v>
      </c>
      <c r="D145" s="45" t="s">
        <v>12</v>
      </c>
    </row>
    <row r="146" spans="1:4" x14ac:dyDescent="0.25">
      <c r="A146" s="5"/>
      <c r="B146" s="4"/>
      <c r="C146" s="161" t="s">
        <v>30</v>
      </c>
      <c r="D146" s="9"/>
    </row>
    <row r="147" spans="1:4" x14ac:dyDescent="0.25">
      <c r="A147" s="1"/>
      <c r="B147" s="2"/>
      <c r="C147" s="162"/>
      <c r="D147" s="10"/>
    </row>
    <row r="148" spans="1:4" x14ac:dyDescent="0.25">
      <c r="A148" s="1"/>
      <c r="B148" s="2"/>
      <c r="C148" s="162"/>
      <c r="D148" s="10"/>
    </row>
    <row r="149" spans="1:4" x14ac:dyDescent="0.25">
      <c r="A149" s="1"/>
      <c r="B149" s="2"/>
      <c r="C149" s="163" t="s">
        <v>31</v>
      </c>
      <c r="D149" s="10"/>
    </row>
    <row r="150" spans="1:4" x14ac:dyDescent="0.25">
      <c r="A150" s="1"/>
      <c r="B150" s="2"/>
      <c r="C150" s="162"/>
      <c r="D150" s="10"/>
    </row>
    <row r="151" spans="1:4" x14ac:dyDescent="0.25">
      <c r="A151" s="1"/>
      <c r="B151" s="2"/>
      <c r="C151" s="162"/>
      <c r="D151" s="10"/>
    </row>
    <row r="152" spans="1:4" x14ac:dyDescent="0.25">
      <c r="A152" s="1"/>
      <c r="B152" s="2"/>
      <c r="C152" s="163" t="s">
        <v>32</v>
      </c>
      <c r="D152" s="10"/>
    </row>
    <row r="153" spans="1:4" x14ac:dyDescent="0.25">
      <c r="A153" s="1"/>
      <c r="B153" s="2"/>
      <c r="C153" s="162"/>
      <c r="D153" s="10"/>
    </row>
    <row r="154" spans="1:4" x14ac:dyDescent="0.25">
      <c r="A154" s="1"/>
      <c r="B154" s="2"/>
      <c r="C154" s="162"/>
      <c r="D154" s="10"/>
    </row>
    <row r="155" spans="1:4" x14ac:dyDescent="0.25">
      <c r="A155" s="2"/>
      <c r="B155" s="2"/>
      <c r="C155" s="163" t="s">
        <v>33</v>
      </c>
      <c r="D155" s="10"/>
    </row>
    <row r="156" spans="1:4" x14ac:dyDescent="0.25">
      <c r="A156" s="2"/>
      <c r="B156" s="2"/>
      <c r="C156" s="162"/>
      <c r="D156" s="10"/>
    </row>
    <row r="157" spans="1:4" x14ac:dyDescent="0.25">
      <c r="A157" s="2"/>
      <c r="B157" s="2"/>
      <c r="C157" s="162"/>
      <c r="D157" s="10"/>
    </row>
    <row r="158" spans="1:4" x14ac:dyDescent="0.25">
      <c r="A158" s="50"/>
      <c r="B158" s="50"/>
      <c r="C158" s="165"/>
      <c r="D158" s="51"/>
    </row>
    <row r="159" spans="1:4" x14ac:dyDescent="0.25">
      <c r="A159" s="50"/>
      <c r="B159" s="50"/>
      <c r="C159" s="165"/>
      <c r="D159" s="51"/>
    </row>
    <row r="160" spans="1:4" ht="14.25" thickBot="1" x14ac:dyDescent="0.3">
      <c r="A160" s="3"/>
      <c r="B160" s="3"/>
      <c r="C160" s="170"/>
      <c r="D160" s="11"/>
    </row>
    <row r="161" spans="1:4" ht="14.25" thickBot="1" x14ac:dyDescent="0.3">
      <c r="A161" s="47" t="s">
        <v>21</v>
      </c>
      <c r="B161" s="47">
        <f>SUM(B146:B160)</f>
        <v>0</v>
      </c>
      <c r="C161" s="168" t="s">
        <v>28</v>
      </c>
      <c r="D161" s="48"/>
    </row>
    <row r="162" spans="1:4" ht="15" thickBot="1" x14ac:dyDescent="0.35">
      <c r="A162" s="49"/>
      <c r="B162" s="49"/>
      <c r="C162" s="169"/>
      <c r="D162" s="49"/>
    </row>
    <row r="163" spans="1:4" ht="18.75" thickBot="1" x14ac:dyDescent="0.3">
      <c r="A163" s="42" t="s">
        <v>13</v>
      </c>
      <c r="B163" s="43">
        <v>9</v>
      </c>
      <c r="C163" s="159" t="s">
        <v>22</v>
      </c>
      <c r="D163" s="53">
        <f>$D$144+7</f>
        <v>45005</v>
      </c>
    </row>
    <row r="164" spans="1:4" ht="27.75" thickBot="1" x14ac:dyDescent="0.3">
      <c r="A164" s="45" t="s">
        <v>2</v>
      </c>
      <c r="B164" s="46" t="s">
        <v>14</v>
      </c>
      <c r="C164" s="160" t="s">
        <v>6</v>
      </c>
      <c r="D164" s="45" t="s">
        <v>12</v>
      </c>
    </row>
    <row r="165" spans="1:4" x14ac:dyDescent="0.25">
      <c r="A165" s="5"/>
      <c r="B165" s="4"/>
      <c r="C165" s="161" t="s">
        <v>30</v>
      </c>
      <c r="D165" s="9"/>
    </row>
    <row r="166" spans="1:4" x14ac:dyDescent="0.25">
      <c r="A166" s="1"/>
      <c r="B166" s="2"/>
      <c r="C166" s="162"/>
      <c r="D166" s="10"/>
    </row>
    <row r="167" spans="1:4" x14ac:dyDescent="0.25">
      <c r="A167" s="1"/>
      <c r="B167" s="2"/>
      <c r="C167" s="162"/>
      <c r="D167" s="10"/>
    </row>
    <row r="168" spans="1:4" x14ac:dyDescent="0.25">
      <c r="A168" s="1"/>
      <c r="B168" s="2"/>
      <c r="C168" s="163" t="s">
        <v>31</v>
      </c>
      <c r="D168" s="10"/>
    </row>
    <row r="169" spans="1:4" x14ac:dyDescent="0.25">
      <c r="A169" s="1"/>
      <c r="B169" s="2"/>
      <c r="C169" s="162"/>
      <c r="D169" s="10"/>
    </row>
    <row r="170" spans="1:4" x14ac:dyDescent="0.25">
      <c r="A170" s="1"/>
      <c r="B170" s="2"/>
      <c r="C170" s="162"/>
      <c r="D170" s="10"/>
    </row>
    <row r="171" spans="1:4" x14ac:dyDescent="0.25">
      <c r="A171" s="1"/>
      <c r="B171" s="2"/>
      <c r="C171" s="163" t="s">
        <v>32</v>
      </c>
      <c r="D171" s="10"/>
    </row>
    <row r="172" spans="1:4" x14ac:dyDescent="0.25">
      <c r="A172" s="1"/>
      <c r="B172" s="2"/>
      <c r="C172" s="162"/>
      <c r="D172" s="10"/>
    </row>
    <row r="173" spans="1:4" x14ac:dyDescent="0.25">
      <c r="A173" s="1"/>
      <c r="B173" s="2"/>
      <c r="C173" s="162"/>
      <c r="D173" s="10"/>
    </row>
    <row r="174" spans="1:4" x14ac:dyDescent="0.25">
      <c r="A174" s="2"/>
      <c r="B174" s="2"/>
      <c r="C174" s="163" t="s">
        <v>33</v>
      </c>
      <c r="D174" s="10"/>
    </row>
    <row r="175" spans="1:4" x14ac:dyDescent="0.25">
      <c r="A175" s="2"/>
      <c r="B175" s="2"/>
      <c r="C175" s="162"/>
      <c r="D175" s="10"/>
    </row>
    <row r="176" spans="1:4" x14ac:dyDescent="0.25">
      <c r="A176" s="2"/>
      <c r="B176" s="2"/>
      <c r="C176" s="162"/>
      <c r="D176" s="10"/>
    </row>
    <row r="177" spans="1:4" x14ac:dyDescent="0.25">
      <c r="A177" s="50"/>
      <c r="B177" s="50"/>
      <c r="C177" s="165"/>
      <c r="D177" s="51"/>
    </row>
    <row r="178" spans="1:4" x14ac:dyDescent="0.25">
      <c r="A178" s="50"/>
      <c r="B178" s="50"/>
      <c r="C178" s="165"/>
      <c r="D178" s="51"/>
    </row>
    <row r="179" spans="1:4" ht="14.25" thickBot="1" x14ac:dyDescent="0.3">
      <c r="A179" s="3"/>
      <c r="B179" s="3"/>
      <c r="C179" s="170"/>
      <c r="D179" s="11"/>
    </row>
    <row r="180" spans="1:4" ht="14.25" thickBot="1" x14ac:dyDescent="0.3">
      <c r="A180" s="47" t="s">
        <v>21</v>
      </c>
      <c r="B180" s="47">
        <f>SUM(B165:B179)</f>
        <v>0</v>
      </c>
      <c r="C180" s="168" t="s">
        <v>28</v>
      </c>
      <c r="D180" s="48"/>
    </row>
    <row r="181" spans="1:4" ht="14.25" x14ac:dyDescent="0.3">
      <c r="A181" s="49"/>
      <c r="B181" s="49"/>
      <c r="C181" s="169"/>
      <c r="D181" s="49"/>
    </row>
    <row r="182" spans="1:4" x14ac:dyDescent="0.25">
      <c r="A182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8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50:F57 B42:B59 B64:B78 B89:B103 B108:B122 B127:B141 B146:B160 B165:B179 B83:B84 B3:B3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60 B79 B85 B104 B123 B142 B161 B180" xr:uid="{EACDBB53-AF42-441D-8FB7-12197BB4F1D8}">
      <formula1>0</formula1>
      <formula2>NbPerWeek * NbQuartPer</formula2>
    </dataValidation>
    <dataValidation type="list" allowBlank="1" showInputMessage="1" showErrorMessage="1" sqref="A42:A59 A64:A78 A89:A103 A108:A122 A127:A141 A146:A160 A165:A179 A83:A84 A3:A37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  <hyperlink ref="D46" r:id="rId6" display="https://www.figma.com/file/iTiC4LW8fjBrWDqOhbiqlT/Untitled?node-id=0%3A1&amp;t=cudA4Iz14xpXyUYl-0 _x000a_" xr:uid="{29BD533C-6B05-49CE-9081-C6C36694E84B}"/>
  </hyperlinks>
  <pageMargins left="0.23622047244094488" right="0.23622047244094488" top="0.74803149606299213" bottom="0.74803149606299213" header="0.31496062992125984" footer="0.31496062992125984"/>
  <pageSetup paperSize="9" scale="24" fitToWidth="0" orientation="portrait" r:id="rId7"/>
  <drawing r:id="rId8"/>
  <legacyDrawing r:id="rId9"/>
  <controls>
    <mc:AlternateContent xmlns:mc="http://schemas.openxmlformats.org/markup-compatibility/2006">
      <mc:Choice Requires="x14">
        <control shapeId="40961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0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95"/>
  <sheetViews>
    <sheetView topLeftCell="A27" workbookViewId="0">
      <selection activeCell="B36" sqref="B3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16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204"/>
      <c r="D1" s="84"/>
    </row>
    <row r="2" spans="1:4" ht="27.75" thickBot="1" x14ac:dyDescent="0.3">
      <c r="A2" s="8" t="s">
        <v>2</v>
      </c>
      <c r="B2" s="18" t="s">
        <v>14</v>
      </c>
      <c r="C2" s="205" t="s">
        <v>6</v>
      </c>
      <c r="D2" s="8" t="s">
        <v>12</v>
      </c>
    </row>
    <row r="3" spans="1:4" s="52" customFormat="1" x14ac:dyDescent="0.25">
      <c r="A3" s="5"/>
      <c r="B3" s="4"/>
      <c r="C3" s="206" t="s">
        <v>30</v>
      </c>
      <c r="D3" s="9"/>
    </row>
    <row r="4" spans="1:4" s="52" customFormat="1" x14ac:dyDescent="0.25">
      <c r="A4" s="1" t="s">
        <v>20</v>
      </c>
      <c r="B4" s="2">
        <v>12</v>
      </c>
      <c r="C4" s="207" t="s">
        <v>35</v>
      </c>
      <c r="D4" s="88"/>
    </row>
    <row r="5" spans="1:4" s="52" customFormat="1" x14ac:dyDescent="0.25">
      <c r="A5" s="1" t="s">
        <v>20</v>
      </c>
      <c r="B5" s="2">
        <v>1</v>
      </c>
      <c r="C5" s="207" t="s">
        <v>36</v>
      </c>
      <c r="D5" s="88"/>
    </row>
    <row r="6" spans="1:4" s="52" customFormat="1" x14ac:dyDescent="0.25">
      <c r="A6" s="1" t="s">
        <v>20</v>
      </c>
      <c r="B6" s="2">
        <v>1</v>
      </c>
      <c r="C6" s="207" t="s">
        <v>37</v>
      </c>
      <c r="D6" s="88"/>
    </row>
    <row r="7" spans="1:4" s="52" customFormat="1" ht="27" x14ac:dyDescent="0.25">
      <c r="A7" s="1" t="s">
        <v>44</v>
      </c>
      <c r="B7" s="2">
        <v>1</v>
      </c>
      <c r="C7" s="207" t="s">
        <v>38</v>
      </c>
      <c r="D7" s="88"/>
    </row>
    <row r="8" spans="1:4" s="52" customFormat="1" ht="27" x14ac:dyDescent="0.25">
      <c r="A8" s="1" t="s">
        <v>44</v>
      </c>
      <c r="B8" s="2">
        <v>3</v>
      </c>
      <c r="C8" s="207" t="s">
        <v>40</v>
      </c>
      <c r="D8" s="88"/>
    </row>
    <row r="9" spans="1:4" s="52" customFormat="1" x14ac:dyDescent="0.25">
      <c r="A9" s="1" t="s">
        <v>42</v>
      </c>
      <c r="B9" s="2">
        <v>1</v>
      </c>
      <c r="C9" s="207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207" t="s">
        <v>41</v>
      </c>
      <c r="D10" s="10"/>
    </row>
    <row r="11" spans="1:4" s="52" customFormat="1" x14ac:dyDescent="0.25">
      <c r="A11" s="1"/>
      <c r="B11" s="2"/>
      <c r="C11" s="208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209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207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207" t="s">
        <v>75</v>
      </c>
      <c r="D14" s="10"/>
    </row>
    <row r="15" spans="1:4" s="52" customFormat="1" ht="40.5" x14ac:dyDescent="0.25">
      <c r="A15" s="1" t="s">
        <v>45</v>
      </c>
      <c r="B15" s="2">
        <v>2</v>
      </c>
      <c r="C15" s="207" t="s">
        <v>73</v>
      </c>
      <c r="D15" s="10"/>
    </row>
    <row r="16" spans="1:4" s="52" customFormat="1" x14ac:dyDescent="0.25">
      <c r="A16" s="1" t="s">
        <v>91</v>
      </c>
      <c r="B16" s="2">
        <v>4</v>
      </c>
      <c r="C16" s="207" t="s">
        <v>74</v>
      </c>
      <c r="D16" s="10"/>
    </row>
    <row r="17" spans="1:4" s="52" customFormat="1" x14ac:dyDescent="0.25">
      <c r="A17" s="1"/>
      <c r="B17" s="2"/>
      <c r="C17" s="207"/>
      <c r="D17" s="10"/>
    </row>
    <row r="18" spans="1:4" s="52" customFormat="1" x14ac:dyDescent="0.25">
      <c r="A18" s="1"/>
      <c r="B18" s="2"/>
      <c r="C18" s="208" t="s">
        <v>32</v>
      </c>
      <c r="D18" s="10"/>
    </row>
    <row r="19" spans="1:4" s="52" customFormat="1" x14ac:dyDescent="0.25">
      <c r="A19" s="1" t="s">
        <v>42</v>
      </c>
      <c r="B19" s="2">
        <v>1</v>
      </c>
      <c r="C19" s="207" t="s">
        <v>72</v>
      </c>
      <c r="D19" s="10"/>
    </row>
    <row r="20" spans="1:4" s="52" customFormat="1" ht="40.5" x14ac:dyDescent="0.25">
      <c r="A20" s="1" t="s">
        <v>48</v>
      </c>
      <c r="B20" s="2">
        <v>11</v>
      </c>
      <c r="C20" s="207" t="s">
        <v>75</v>
      </c>
      <c r="D20" s="10"/>
    </row>
    <row r="21" spans="1:4" s="52" customFormat="1" x14ac:dyDescent="0.25">
      <c r="A21" s="1"/>
      <c r="B21" s="2"/>
      <c r="C21" s="207"/>
      <c r="D21" s="10"/>
    </row>
    <row r="22" spans="1:4" s="52" customFormat="1" x14ac:dyDescent="0.25">
      <c r="A22" s="1"/>
      <c r="B22" s="2"/>
      <c r="C22" s="208" t="s">
        <v>33</v>
      </c>
      <c r="D22" s="10"/>
    </row>
    <row r="23" spans="1:4" s="52" customFormat="1" x14ac:dyDescent="0.25">
      <c r="A23" s="1" t="s">
        <v>42</v>
      </c>
      <c r="B23" s="2">
        <v>1</v>
      </c>
      <c r="C23" s="207" t="s">
        <v>72</v>
      </c>
      <c r="D23" s="10"/>
    </row>
    <row r="24" spans="1:4" s="52" customFormat="1" ht="40.5" x14ac:dyDescent="0.25">
      <c r="A24" s="2" t="s">
        <v>48</v>
      </c>
      <c r="B24" s="2">
        <v>23</v>
      </c>
      <c r="C24" s="207" t="s">
        <v>75</v>
      </c>
      <c r="D24" s="10"/>
    </row>
    <row r="25" spans="1:4" s="52" customFormat="1" ht="27" x14ac:dyDescent="0.25">
      <c r="A25" s="2" t="s">
        <v>44</v>
      </c>
      <c r="B25" s="2">
        <v>3</v>
      </c>
      <c r="C25" s="207" t="s">
        <v>76</v>
      </c>
      <c r="D25" s="10"/>
    </row>
    <row r="26" spans="1:4" s="52" customFormat="1" ht="14.25" thickBot="1" x14ac:dyDescent="0.3">
      <c r="A26" s="3"/>
      <c r="B26" s="3"/>
      <c r="C26" s="210"/>
      <c r="D26" s="11"/>
    </row>
    <row r="27" spans="1:4" ht="14.25" thickBot="1" x14ac:dyDescent="0.3">
      <c r="A27" s="12" t="s">
        <v>21</v>
      </c>
      <c r="B27" s="12">
        <f>SUM(B3:B26)</f>
        <v>90</v>
      </c>
      <c r="C27" s="211" t="s">
        <v>28</v>
      </c>
      <c r="D27" s="13"/>
    </row>
    <row r="28" spans="1:4" ht="15" thickBot="1" x14ac:dyDescent="0.35">
      <c r="A28" s="14"/>
      <c r="B28" s="14"/>
      <c r="C28" s="212"/>
      <c r="D28" s="14"/>
    </row>
    <row r="29" spans="1:4" ht="18.75" thickBot="1" x14ac:dyDescent="0.3">
      <c r="A29" s="6" t="s">
        <v>13</v>
      </c>
      <c r="B29" s="7">
        <v>2</v>
      </c>
      <c r="C29" s="204"/>
      <c r="D29" s="84"/>
    </row>
    <row r="30" spans="1:4" ht="27.75" thickBot="1" x14ac:dyDescent="0.3">
      <c r="A30" s="8" t="s">
        <v>2</v>
      </c>
      <c r="B30" s="18" t="s">
        <v>14</v>
      </c>
      <c r="C30" s="205" t="s">
        <v>6</v>
      </c>
      <c r="D30" s="8" t="s">
        <v>12</v>
      </c>
    </row>
    <row r="31" spans="1:4" x14ac:dyDescent="0.25">
      <c r="A31" s="5"/>
      <c r="B31" s="4"/>
      <c r="C31" s="206" t="s">
        <v>30</v>
      </c>
      <c r="D31" s="9"/>
    </row>
    <row r="32" spans="1:4" ht="40.5" x14ac:dyDescent="0.25">
      <c r="A32" s="182" t="s">
        <v>45</v>
      </c>
      <c r="B32" s="183">
        <v>6</v>
      </c>
      <c r="C32" s="213" t="s">
        <v>107</v>
      </c>
      <c r="D32" s="88"/>
    </row>
    <row r="33" spans="1:8" x14ac:dyDescent="0.25">
      <c r="A33" s="182" t="s">
        <v>42</v>
      </c>
      <c r="B33" s="183">
        <v>2</v>
      </c>
      <c r="C33" s="207" t="s">
        <v>72</v>
      </c>
      <c r="D33" s="88"/>
    </row>
    <row r="34" spans="1:8" x14ac:dyDescent="0.25">
      <c r="A34" s="182" t="s">
        <v>91</v>
      </c>
      <c r="B34" s="183">
        <v>6</v>
      </c>
      <c r="C34" s="209" t="s">
        <v>86</v>
      </c>
      <c r="D34" s="88"/>
    </row>
    <row r="35" spans="1:8" ht="40.5" x14ac:dyDescent="0.25">
      <c r="A35" s="1" t="s">
        <v>94</v>
      </c>
      <c r="B35" s="2">
        <v>4</v>
      </c>
      <c r="C35" s="209" t="s">
        <v>108</v>
      </c>
      <c r="D35" s="10"/>
    </row>
    <row r="36" spans="1:8" ht="27" x14ac:dyDescent="0.25">
      <c r="A36" s="1" t="s">
        <v>98</v>
      </c>
      <c r="B36" s="2">
        <v>6</v>
      </c>
      <c r="C36" s="209" t="s">
        <v>109</v>
      </c>
      <c r="D36" s="10"/>
    </row>
    <row r="37" spans="1:8" x14ac:dyDescent="0.25">
      <c r="A37" s="1"/>
      <c r="B37" s="2"/>
      <c r="C37" s="207"/>
      <c r="D37" s="10"/>
    </row>
    <row r="38" spans="1:8" ht="12.75" customHeight="1" x14ac:dyDescent="0.25">
      <c r="A38" s="1"/>
      <c r="B38" s="2"/>
      <c r="C38" s="208" t="s">
        <v>31</v>
      </c>
      <c r="D38" s="10"/>
      <c r="F38" s="31"/>
      <c r="G38" s="32"/>
      <c r="H38" s="33"/>
    </row>
    <row r="39" spans="1:8" ht="15" x14ac:dyDescent="0.25">
      <c r="A39" s="182" t="s">
        <v>42</v>
      </c>
      <c r="B39" s="183">
        <v>2</v>
      </c>
      <c r="C39" s="207" t="s">
        <v>72</v>
      </c>
      <c r="D39" s="10"/>
      <c r="F39" s="34"/>
      <c r="G39" s="30"/>
      <c r="H39" s="30"/>
    </row>
    <row r="40" spans="1:8" ht="15" x14ac:dyDescent="0.25">
      <c r="A40" s="182" t="s">
        <v>91</v>
      </c>
      <c r="B40" s="183">
        <v>3</v>
      </c>
      <c r="C40" s="209" t="s">
        <v>86</v>
      </c>
      <c r="D40" s="10"/>
      <c r="F40" s="34"/>
      <c r="G40" s="30"/>
      <c r="H40" s="30"/>
    </row>
    <row r="41" spans="1:8" ht="27" x14ac:dyDescent="0.25">
      <c r="A41" s="182" t="s">
        <v>98</v>
      </c>
      <c r="B41" s="183">
        <v>3</v>
      </c>
      <c r="C41" s="209" t="s">
        <v>110</v>
      </c>
      <c r="D41" s="10"/>
      <c r="F41" s="34"/>
      <c r="G41" s="30"/>
      <c r="H41" s="30"/>
    </row>
    <row r="42" spans="1:8" ht="15" x14ac:dyDescent="0.25">
      <c r="A42" s="182" t="s">
        <v>20</v>
      </c>
      <c r="B42" s="183">
        <v>2</v>
      </c>
      <c r="C42" s="209" t="s">
        <v>111</v>
      </c>
      <c r="D42" s="10"/>
      <c r="F42" s="34"/>
      <c r="G42" s="30"/>
      <c r="H42" s="30"/>
    </row>
    <row r="43" spans="1:8" ht="40.5" x14ac:dyDescent="0.25">
      <c r="A43" s="182" t="s">
        <v>104</v>
      </c>
      <c r="B43" s="183">
        <v>17</v>
      </c>
      <c r="C43" s="209" t="s">
        <v>112</v>
      </c>
      <c r="D43" s="10"/>
      <c r="F43" s="34"/>
      <c r="G43" s="30"/>
      <c r="H43" s="30"/>
    </row>
    <row r="44" spans="1:8" x14ac:dyDescent="0.25">
      <c r="A44" s="1"/>
      <c r="B44" s="2"/>
      <c r="C44" s="207"/>
      <c r="D44" s="10"/>
      <c r="F44" s="36"/>
      <c r="G44" s="37"/>
      <c r="H44" s="37"/>
    </row>
    <row r="45" spans="1:8" x14ac:dyDescent="0.25">
      <c r="A45" s="2"/>
      <c r="B45" s="2"/>
      <c r="C45" s="208" t="s">
        <v>32</v>
      </c>
      <c r="D45" s="10"/>
      <c r="F45" s="36"/>
      <c r="G45" s="37"/>
      <c r="H45" s="37"/>
    </row>
    <row r="46" spans="1:8" x14ac:dyDescent="0.25">
      <c r="A46" s="182" t="s">
        <v>42</v>
      </c>
      <c r="B46" s="183">
        <v>2</v>
      </c>
      <c r="C46" s="207" t="s">
        <v>72</v>
      </c>
      <c r="D46" s="10"/>
      <c r="F46" s="36"/>
      <c r="G46" s="37"/>
      <c r="H46" s="37"/>
    </row>
    <row r="47" spans="1:8" x14ac:dyDescent="0.25">
      <c r="A47" s="182" t="s">
        <v>91</v>
      </c>
      <c r="B47" s="183">
        <v>3</v>
      </c>
      <c r="C47" s="209" t="s">
        <v>86</v>
      </c>
      <c r="D47" s="10"/>
      <c r="F47" s="36"/>
      <c r="G47" s="37"/>
      <c r="H47" s="37"/>
    </row>
    <row r="48" spans="1:8" ht="40.5" x14ac:dyDescent="0.25">
      <c r="A48" s="203" t="s">
        <v>104</v>
      </c>
      <c r="B48" s="179">
        <v>4</v>
      </c>
      <c r="C48" s="209" t="s">
        <v>113</v>
      </c>
      <c r="D48" s="51"/>
      <c r="F48" s="36"/>
      <c r="G48" s="37"/>
      <c r="H48" s="37"/>
    </row>
    <row r="49" spans="1:8" ht="27" x14ac:dyDescent="0.25">
      <c r="A49" s="203" t="s">
        <v>95</v>
      </c>
      <c r="B49" s="179">
        <v>3</v>
      </c>
      <c r="C49" s="209" t="s">
        <v>118</v>
      </c>
      <c r="D49" s="51"/>
      <c r="F49" s="36"/>
      <c r="G49" s="37"/>
      <c r="H49" s="37"/>
    </row>
    <row r="50" spans="1:8" x14ac:dyDescent="0.25">
      <c r="A50" s="50"/>
      <c r="B50" s="50"/>
      <c r="C50" s="208" t="s">
        <v>33</v>
      </c>
      <c r="D50" s="51"/>
      <c r="F50" s="36"/>
      <c r="G50" s="37"/>
      <c r="H50" s="37"/>
    </row>
    <row r="51" spans="1:8" x14ac:dyDescent="0.25">
      <c r="A51" s="182" t="s">
        <v>42</v>
      </c>
      <c r="B51" s="183">
        <v>2</v>
      </c>
      <c r="C51" s="207" t="s">
        <v>72</v>
      </c>
      <c r="D51" s="51"/>
      <c r="F51" s="36"/>
      <c r="G51" s="37"/>
      <c r="H51" s="37"/>
    </row>
    <row r="52" spans="1:8" ht="14.25" thickBot="1" x14ac:dyDescent="0.3">
      <c r="A52" s="182" t="s">
        <v>91</v>
      </c>
      <c r="B52" s="183">
        <v>3</v>
      </c>
      <c r="C52" s="209" t="s">
        <v>86</v>
      </c>
      <c r="D52" s="11"/>
      <c r="F52" s="36"/>
      <c r="G52" s="37"/>
      <c r="H52" s="37"/>
    </row>
    <row r="53" spans="1:8" ht="41.25" thickBot="1" x14ac:dyDescent="0.3">
      <c r="A53" s="203" t="s">
        <v>104</v>
      </c>
      <c r="B53" s="179">
        <v>6</v>
      </c>
      <c r="C53" s="217" t="s">
        <v>115</v>
      </c>
      <c r="D53" s="158"/>
      <c r="F53" s="36"/>
      <c r="G53" s="37"/>
      <c r="H53" s="37"/>
    </row>
    <row r="54" spans="1:8" ht="27.75" thickBot="1" x14ac:dyDescent="0.3">
      <c r="A54" s="203" t="s">
        <v>95</v>
      </c>
      <c r="B54" s="179">
        <v>8</v>
      </c>
      <c r="C54" s="209" t="s">
        <v>118</v>
      </c>
      <c r="D54" s="158"/>
      <c r="F54" s="36"/>
      <c r="G54" s="37"/>
      <c r="H54" s="37"/>
    </row>
    <row r="55" spans="1:8" ht="27.75" thickBot="1" x14ac:dyDescent="0.3">
      <c r="A55" s="203" t="s">
        <v>96</v>
      </c>
      <c r="B55" s="179">
        <v>8</v>
      </c>
      <c r="C55" s="209" t="s">
        <v>114</v>
      </c>
      <c r="D55" s="158"/>
      <c r="F55" s="36"/>
      <c r="G55" s="37"/>
      <c r="H55" s="37"/>
    </row>
    <row r="56" spans="1:8" ht="14.25" thickBot="1" x14ac:dyDescent="0.3">
      <c r="A56" s="203"/>
      <c r="B56" s="179"/>
      <c r="C56" s="217"/>
      <c r="D56" s="158"/>
      <c r="F56" s="36"/>
    </row>
    <row r="57" spans="1:8" ht="14.25" thickBot="1" x14ac:dyDescent="0.3">
      <c r="A57" s="12" t="s">
        <v>21</v>
      </c>
      <c r="B57" s="12">
        <f>SUM(B31:B56)</f>
        <v>90</v>
      </c>
      <c r="C57" s="211" t="s">
        <v>28</v>
      </c>
      <c r="D57" s="13"/>
      <c r="F57" s="36"/>
      <c r="G57" s="37"/>
      <c r="H57" s="37"/>
    </row>
    <row r="58" spans="1:8" ht="15" thickBot="1" x14ac:dyDescent="0.35">
      <c r="A58" s="14"/>
      <c r="B58" s="14"/>
      <c r="C58" s="212"/>
      <c r="D58" s="14"/>
      <c r="F58" s="36"/>
      <c r="G58" s="37"/>
      <c r="H58" s="37"/>
    </row>
    <row r="59" spans="1:8" ht="18.75" thickBot="1" x14ac:dyDescent="0.3">
      <c r="A59" s="6" t="s">
        <v>13</v>
      </c>
      <c r="B59" s="7">
        <v>3</v>
      </c>
      <c r="C59" s="204"/>
      <c r="D59" s="84"/>
      <c r="F59" s="36"/>
    </row>
    <row r="60" spans="1:8" ht="27.75" thickBot="1" x14ac:dyDescent="0.3">
      <c r="A60" s="8" t="s">
        <v>2</v>
      </c>
      <c r="B60" s="18" t="s">
        <v>14</v>
      </c>
      <c r="C60" s="205" t="s">
        <v>6</v>
      </c>
      <c r="D60" s="8" t="s">
        <v>12</v>
      </c>
      <c r="F60" s="38"/>
    </row>
    <row r="61" spans="1:8" x14ac:dyDescent="0.25">
      <c r="A61" s="5"/>
      <c r="B61" s="4"/>
      <c r="C61" s="206" t="s">
        <v>30</v>
      </c>
      <c r="D61" s="9"/>
    </row>
    <row r="62" spans="1:8" x14ac:dyDescent="0.25">
      <c r="A62" s="182" t="s">
        <v>42</v>
      </c>
      <c r="B62" s="183">
        <v>2</v>
      </c>
      <c r="C62" s="207" t="s">
        <v>72</v>
      </c>
      <c r="D62" s="10"/>
    </row>
    <row r="63" spans="1:8" x14ac:dyDescent="0.25">
      <c r="A63" s="182" t="s">
        <v>91</v>
      </c>
      <c r="B63" s="183">
        <v>3</v>
      </c>
      <c r="C63" s="209" t="s">
        <v>86</v>
      </c>
      <c r="D63" s="10"/>
    </row>
    <row r="64" spans="1:8" ht="27" x14ac:dyDescent="0.25">
      <c r="A64" s="203" t="s">
        <v>101</v>
      </c>
      <c r="B64" s="179">
        <v>12</v>
      </c>
      <c r="C64" s="217" t="s">
        <v>116</v>
      </c>
      <c r="D64" s="10"/>
    </row>
    <row r="65" spans="1:8" ht="27" x14ac:dyDescent="0.25">
      <c r="A65" s="203" t="s">
        <v>97</v>
      </c>
      <c r="B65" s="179">
        <v>7</v>
      </c>
      <c r="C65" s="217" t="s">
        <v>117</v>
      </c>
      <c r="D65" s="10"/>
    </row>
    <row r="66" spans="1:8" x14ac:dyDescent="0.25">
      <c r="A66" s="182"/>
      <c r="B66" s="183"/>
      <c r="C66" s="209"/>
      <c r="D66" s="10"/>
    </row>
    <row r="67" spans="1:8" ht="12.75" customHeight="1" x14ac:dyDescent="0.25">
      <c r="A67" s="1"/>
      <c r="B67" s="2"/>
      <c r="C67" s="208" t="s">
        <v>31</v>
      </c>
      <c r="D67" s="10"/>
      <c r="F67" s="31"/>
      <c r="G67" s="32"/>
      <c r="H67" s="33"/>
    </row>
    <row r="68" spans="1:8" ht="15" x14ac:dyDescent="0.25">
      <c r="A68" s="182" t="s">
        <v>42</v>
      </c>
      <c r="B68" s="183">
        <v>2</v>
      </c>
      <c r="C68" s="207" t="s">
        <v>72</v>
      </c>
      <c r="D68" s="10"/>
      <c r="F68" s="34"/>
      <c r="G68" s="30"/>
      <c r="H68" s="30"/>
    </row>
    <row r="69" spans="1:8" ht="15" x14ac:dyDescent="0.25">
      <c r="A69" s="182" t="s">
        <v>91</v>
      </c>
      <c r="B69" s="183">
        <v>3</v>
      </c>
      <c r="C69" s="209" t="s">
        <v>86</v>
      </c>
      <c r="D69" s="10"/>
      <c r="F69" s="34"/>
      <c r="G69" s="30"/>
      <c r="H69" s="30"/>
    </row>
    <row r="70" spans="1:8" ht="27" x14ac:dyDescent="0.25">
      <c r="A70" s="182" t="s">
        <v>97</v>
      </c>
      <c r="B70" s="183">
        <v>17</v>
      </c>
      <c r="C70" s="217" t="s">
        <v>117</v>
      </c>
      <c r="D70" s="10"/>
      <c r="F70" s="34"/>
      <c r="G70" s="30"/>
      <c r="H70" s="30"/>
    </row>
    <row r="71" spans="1:8" ht="54" x14ac:dyDescent="0.25">
      <c r="A71" s="182" t="s">
        <v>99</v>
      </c>
      <c r="B71" s="183">
        <v>5</v>
      </c>
      <c r="C71" s="209" t="s">
        <v>119</v>
      </c>
      <c r="D71" s="10"/>
      <c r="F71" s="34"/>
      <c r="G71" s="30"/>
      <c r="H71" s="30"/>
    </row>
    <row r="72" spans="1:8" x14ac:dyDescent="0.25">
      <c r="A72" s="1"/>
      <c r="B72" s="2"/>
      <c r="C72" s="207"/>
      <c r="D72" s="10"/>
      <c r="F72" s="36"/>
      <c r="G72" s="37"/>
      <c r="H72" s="37"/>
    </row>
    <row r="73" spans="1:8" x14ac:dyDescent="0.25">
      <c r="A73" s="2"/>
      <c r="B73" s="2"/>
      <c r="C73" s="208" t="s">
        <v>32</v>
      </c>
      <c r="D73" s="10"/>
      <c r="F73" s="36"/>
      <c r="G73" s="37"/>
      <c r="H73" s="37"/>
    </row>
    <row r="74" spans="1:8" x14ac:dyDescent="0.25">
      <c r="A74" s="182" t="s">
        <v>42</v>
      </c>
      <c r="B74" s="183">
        <v>2</v>
      </c>
      <c r="C74" s="207" t="s">
        <v>72</v>
      </c>
      <c r="D74" s="10"/>
      <c r="F74" s="36"/>
      <c r="G74" s="37"/>
      <c r="H74" s="37"/>
    </row>
    <row r="75" spans="1:8" x14ac:dyDescent="0.25">
      <c r="A75" s="182" t="s">
        <v>91</v>
      </c>
      <c r="B75" s="183">
        <v>3</v>
      </c>
      <c r="C75" s="209" t="s">
        <v>86</v>
      </c>
      <c r="D75" s="10"/>
      <c r="F75" s="36"/>
      <c r="G75" s="37"/>
      <c r="H75" s="37"/>
    </row>
    <row r="76" spans="1:8" ht="54" x14ac:dyDescent="0.25">
      <c r="A76" s="182" t="s">
        <v>99</v>
      </c>
      <c r="B76" s="183">
        <v>7</v>
      </c>
      <c r="C76" s="209" t="s">
        <v>119</v>
      </c>
      <c r="D76" s="51"/>
      <c r="F76" s="36"/>
      <c r="G76" s="37"/>
      <c r="H76" s="37"/>
    </row>
    <row r="77" spans="1:8" x14ac:dyDescent="0.25">
      <c r="A77" s="203"/>
      <c r="B77" s="179"/>
      <c r="C77" s="209"/>
      <c r="D77" s="51"/>
      <c r="F77" s="36"/>
      <c r="G77" s="37"/>
      <c r="H77" s="37"/>
    </row>
    <row r="78" spans="1:8" x14ac:dyDescent="0.25">
      <c r="A78" s="50"/>
      <c r="B78" s="50"/>
      <c r="C78" s="208" t="s">
        <v>33</v>
      </c>
      <c r="D78" s="51"/>
      <c r="F78" s="36"/>
      <c r="G78" s="37"/>
      <c r="H78" s="37"/>
    </row>
    <row r="79" spans="1:8" x14ac:dyDescent="0.25">
      <c r="A79" s="182" t="s">
        <v>42</v>
      </c>
      <c r="B79" s="183">
        <v>2</v>
      </c>
      <c r="C79" s="207" t="s">
        <v>72</v>
      </c>
      <c r="D79" s="51"/>
      <c r="F79" s="36"/>
      <c r="G79" s="37"/>
      <c r="H79" s="37"/>
    </row>
    <row r="80" spans="1:8" x14ac:dyDescent="0.25">
      <c r="A80" s="182" t="s">
        <v>91</v>
      </c>
      <c r="B80" s="183">
        <v>3</v>
      </c>
      <c r="C80" s="209" t="s">
        <v>86</v>
      </c>
      <c r="D80" s="181"/>
      <c r="F80" s="36"/>
      <c r="G80" s="37"/>
      <c r="H80" s="37"/>
    </row>
    <row r="81" spans="1:8" ht="40.5" x14ac:dyDescent="0.25">
      <c r="A81" s="203" t="s">
        <v>100</v>
      </c>
      <c r="B81" s="179">
        <v>12</v>
      </c>
      <c r="C81" s="217" t="s">
        <v>120</v>
      </c>
      <c r="D81" s="181"/>
      <c r="F81" s="36"/>
      <c r="G81" s="37"/>
      <c r="H81" s="37"/>
    </row>
    <row r="82" spans="1:8" ht="40.5" x14ac:dyDescent="0.25">
      <c r="A82" s="203" t="s">
        <v>48</v>
      </c>
      <c r="B82" s="179">
        <v>10</v>
      </c>
      <c r="C82" s="217" t="s">
        <v>121</v>
      </c>
      <c r="D82" s="181"/>
      <c r="F82" s="36"/>
      <c r="G82" s="37"/>
      <c r="H82" s="37"/>
    </row>
    <row r="83" spans="1:8" ht="14.25" thickBot="1" x14ac:dyDescent="0.3">
      <c r="A83" s="203"/>
      <c r="B83" s="179"/>
      <c r="C83" s="217"/>
      <c r="D83" s="181"/>
      <c r="F83" s="36"/>
      <c r="G83" s="37"/>
      <c r="H83" s="37"/>
    </row>
    <row r="84" spans="1:8" ht="14.25" thickBot="1" x14ac:dyDescent="0.3">
      <c r="A84" s="12" t="s">
        <v>21</v>
      </c>
      <c r="B84" s="12">
        <f>SUM(B61:B82)</f>
        <v>90</v>
      </c>
      <c r="C84" s="211" t="s">
        <v>28</v>
      </c>
      <c r="D84" s="13"/>
    </row>
    <row r="85" spans="1:8" ht="15" thickBot="1" x14ac:dyDescent="0.35">
      <c r="A85" s="14"/>
      <c r="B85" s="14"/>
      <c r="C85" s="212"/>
      <c r="D85" s="14"/>
    </row>
    <row r="86" spans="1:8" ht="18.75" thickBot="1" x14ac:dyDescent="0.3">
      <c r="A86" s="6" t="s">
        <v>13</v>
      </c>
      <c r="B86" s="7">
        <v>4</v>
      </c>
      <c r="C86" s="204"/>
      <c r="D86" s="84"/>
    </row>
    <row r="87" spans="1:8" ht="27.75" thickBot="1" x14ac:dyDescent="0.3">
      <c r="A87" s="8" t="s">
        <v>2</v>
      </c>
      <c r="B87" s="18" t="s">
        <v>14</v>
      </c>
      <c r="C87" s="205" t="s">
        <v>6</v>
      </c>
      <c r="D87" s="8" t="s">
        <v>12</v>
      </c>
    </row>
    <row r="88" spans="1:8" x14ac:dyDescent="0.25">
      <c r="A88" s="5" t="s">
        <v>34</v>
      </c>
      <c r="B88" s="4">
        <v>90</v>
      </c>
      <c r="C88" s="214" t="s">
        <v>34</v>
      </c>
      <c r="D88" s="9"/>
    </row>
    <row r="89" spans="1:8" ht="14.25" thickBot="1" x14ac:dyDescent="0.3">
      <c r="A89" s="50"/>
      <c r="B89" s="50"/>
      <c r="C89" s="215"/>
      <c r="D89" s="51"/>
      <c r="F89" s="36"/>
      <c r="G89" s="37"/>
      <c r="H89" s="37"/>
    </row>
    <row r="90" spans="1:8" ht="14.25" thickBot="1" x14ac:dyDescent="0.3">
      <c r="A90" s="12" t="s">
        <v>21</v>
      </c>
      <c r="B90" s="12">
        <f>SUM(B88:B89)</f>
        <v>90</v>
      </c>
      <c r="C90" s="211" t="s">
        <v>28</v>
      </c>
      <c r="D90" s="13"/>
    </row>
    <row r="91" spans="1:8" ht="15" thickBot="1" x14ac:dyDescent="0.35">
      <c r="A91" s="14"/>
      <c r="B91" s="14"/>
      <c r="C91" s="212"/>
      <c r="D91" s="14"/>
    </row>
    <row r="92" spans="1:8" ht="18.75" thickBot="1" x14ac:dyDescent="0.3">
      <c r="A92" s="6" t="s">
        <v>13</v>
      </c>
      <c r="B92" s="7">
        <v>5</v>
      </c>
      <c r="C92" s="204"/>
      <c r="D92" s="84"/>
    </row>
    <row r="93" spans="1:8" ht="27.75" thickBot="1" x14ac:dyDescent="0.3">
      <c r="A93" s="8" t="s">
        <v>2</v>
      </c>
      <c r="B93" s="18" t="s">
        <v>14</v>
      </c>
      <c r="C93" s="205" t="s">
        <v>6</v>
      </c>
      <c r="D93" s="8" t="s">
        <v>12</v>
      </c>
    </row>
    <row r="94" spans="1:8" x14ac:dyDescent="0.25">
      <c r="A94" s="5"/>
      <c r="B94" s="4"/>
      <c r="C94" s="206" t="s">
        <v>30</v>
      </c>
      <c r="D94" s="9"/>
    </row>
    <row r="95" spans="1:8" x14ac:dyDescent="0.25">
      <c r="A95" s="1" t="s">
        <v>42</v>
      </c>
      <c r="B95" s="2">
        <v>2</v>
      </c>
      <c r="C95" s="207" t="s">
        <v>72</v>
      </c>
      <c r="D95" s="88"/>
    </row>
    <row r="96" spans="1:8" x14ac:dyDescent="0.25">
      <c r="A96" s="182" t="s">
        <v>91</v>
      </c>
      <c r="B96" s="183">
        <v>3</v>
      </c>
      <c r="C96" s="209" t="s">
        <v>86</v>
      </c>
      <c r="D96" s="88"/>
    </row>
    <row r="97" spans="1:8" ht="40.5" x14ac:dyDescent="0.25">
      <c r="A97" s="1" t="s">
        <v>48</v>
      </c>
      <c r="B97" s="218">
        <v>4</v>
      </c>
      <c r="C97" s="217" t="s">
        <v>121</v>
      </c>
      <c r="D97" s="10"/>
    </row>
    <row r="98" spans="1:8" ht="27" x14ac:dyDescent="0.25">
      <c r="A98" s="1" t="s">
        <v>49</v>
      </c>
      <c r="B98" s="2">
        <v>8</v>
      </c>
      <c r="C98" s="209" t="s">
        <v>122</v>
      </c>
      <c r="D98" s="10"/>
    </row>
    <row r="99" spans="1:8" ht="27" x14ac:dyDescent="0.25">
      <c r="A99" s="1" t="s">
        <v>92</v>
      </c>
      <c r="B99" s="2">
        <v>7</v>
      </c>
      <c r="C99" s="209" t="s">
        <v>125</v>
      </c>
      <c r="D99" s="10"/>
    </row>
    <row r="100" spans="1:8" ht="12.75" customHeight="1" x14ac:dyDescent="0.25">
      <c r="A100" s="1"/>
      <c r="B100" s="2"/>
      <c r="C100" s="208" t="s">
        <v>31</v>
      </c>
      <c r="D100" s="10"/>
      <c r="F100" s="31"/>
      <c r="G100" s="32"/>
      <c r="H100" s="33"/>
    </row>
    <row r="101" spans="1:8" ht="15" x14ac:dyDescent="0.25">
      <c r="A101" s="182" t="s">
        <v>42</v>
      </c>
      <c r="B101" s="183">
        <v>2</v>
      </c>
      <c r="C101" s="207" t="s">
        <v>72</v>
      </c>
      <c r="D101" s="10"/>
      <c r="F101" s="34"/>
      <c r="G101" s="30"/>
      <c r="H101" s="30"/>
    </row>
    <row r="102" spans="1:8" ht="15" x14ac:dyDescent="0.25">
      <c r="A102" s="182" t="s">
        <v>91</v>
      </c>
      <c r="B102" s="183">
        <v>3</v>
      </c>
      <c r="C102" s="209" t="s">
        <v>86</v>
      </c>
      <c r="D102" s="10"/>
      <c r="F102" s="34"/>
      <c r="G102" s="30"/>
      <c r="H102" s="30"/>
    </row>
    <row r="103" spans="1:8" ht="27" x14ac:dyDescent="0.25">
      <c r="A103" s="182" t="s">
        <v>92</v>
      </c>
      <c r="B103" s="183">
        <v>11</v>
      </c>
      <c r="C103" s="209" t="s">
        <v>125</v>
      </c>
      <c r="D103" s="10"/>
      <c r="F103" s="34"/>
      <c r="G103" s="30"/>
      <c r="H103" s="30"/>
    </row>
    <row r="104" spans="1:8" x14ac:dyDescent="0.25">
      <c r="A104" s="1" t="s">
        <v>50</v>
      </c>
      <c r="B104" s="2">
        <v>11</v>
      </c>
      <c r="C104" s="209" t="s">
        <v>123</v>
      </c>
      <c r="D104" s="10"/>
      <c r="F104" s="36"/>
      <c r="G104" s="37"/>
      <c r="H104" s="37"/>
    </row>
    <row r="105" spans="1:8" x14ac:dyDescent="0.25">
      <c r="A105" s="2"/>
      <c r="B105" s="2"/>
      <c r="C105" s="208" t="s">
        <v>32</v>
      </c>
      <c r="D105" s="10"/>
      <c r="F105" s="36"/>
      <c r="G105" s="37"/>
      <c r="H105" s="37"/>
    </row>
    <row r="106" spans="1:8" x14ac:dyDescent="0.25">
      <c r="A106" s="182" t="s">
        <v>42</v>
      </c>
      <c r="B106" s="183">
        <v>2</v>
      </c>
      <c r="C106" s="207" t="s">
        <v>72</v>
      </c>
      <c r="D106" s="10"/>
      <c r="F106" s="36"/>
      <c r="G106" s="37"/>
      <c r="H106" s="37"/>
    </row>
    <row r="107" spans="1:8" x14ac:dyDescent="0.25">
      <c r="A107" s="182" t="s">
        <v>91</v>
      </c>
      <c r="B107" s="183">
        <v>3</v>
      </c>
      <c r="C107" s="209" t="s">
        <v>86</v>
      </c>
      <c r="D107" s="10"/>
      <c r="F107" s="36"/>
      <c r="G107" s="37"/>
      <c r="H107" s="37"/>
    </row>
    <row r="108" spans="1:8" x14ac:dyDescent="0.25">
      <c r="A108" s="1" t="s">
        <v>50</v>
      </c>
      <c r="B108" s="2">
        <v>7</v>
      </c>
      <c r="C108" s="209" t="s">
        <v>123</v>
      </c>
      <c r="D108" s="51"/>
      <c r="F108" s="36"/>
      <c r="G108" s="37"/>
      <c r="H108" s="37"/>
    </row>
    <row r="109" spans="1:8" x14ac:dyDescent="0.25">
      <c r="A109" s="50"/>
      <c r="B109" s="50"/>
      <c r="C109" s="208" t="s">
        <v>33</v>
      </c>
      <c r="D109" s="51"/>
      <c r="F109" s="36"/>
      <c r="G109" s="37"/>
      <c r="H109" s="37"/>
    </row>
    <row r="110" spans="1:8" x14ac:dyDescent="0.25">
      <c r="A110" s="182" t="s">
        <v>42</v>
      </c>
      <c r="B110" s="183">
        <v>2</v>
      </c>
      <c r="C110" s="207" t="s">
        <v>72</v>
      </c>
      <c r="D110" s="51"/>
      <c r="F110" s="36"/>
      <c r="G110" s="37"/>
      <c r="H110" s="37"/>
    </row>
    <row r="111" spans="1:8" x14ac:dyDescent="0.25">
      <c r="A111" s="182" t="s">
        <v>91</v>
      </c>
      <c r="B111" s="183">
        <v>3</v>
      </c>
      <c r="C111" s="209" t="s">
        <v>86</v>
      </c>
      <c r="D111" s="181"/>
      <c r="F111" s="36"/>
      <c r="G111" s="37"/>
      <c r="H111" s="37"/>
    </row>
    <row r="112" spans="1:8" ht="14.25" thickBot="1" x14ac:dyDescent="0.3">
      <c r="A112" s="1" t="s">
        <v>50</v>
      </c>
      <c r="B112" s="2">
        <v>22</v>
      </c>
      <c r="C112" s="209" t="s">
        <v>123</v>
      </c>
      <c r="D112" s="181"/>
      <c r="F112" s="36"/>
      <c r="G112" s="37"/>
      <c r="H112" s="37"/>
    </row>
    <row r="113" spans="1:8" ht="14.25" thickBot="1" x14ac:dyDescent="0.3">
      <c r="A113" s="12" t="s">
        <v>21</v>
      </c>
      <c r="B113" s="12">
        <f>SUM(B94:B112)</f>
        <v>90</v>
      </c>
      <c r="C113" s="211" t="s">
        <v>28</v>
      </c>
      <c r="D113" s="13"/>
    </row>
    <row r="114" spans="1:8" ht="15" thickBot="1" x14ac:dyDescent="0.35">
      <c r="A114" s="14"/>
      <c r="B114" s="14"/>
      <c r="C114" s="212"/>
      <c r="D114" s="14"/>
    </row>
    <row r="115" spans="1:8" ht="18.75" thickBot="1" x14ac:dyDescent="0.3">
      <c r="A115" s="6" t="s">
        <v>13</v>
      </c>
      <c r="B115" s="7">
        <v>6</v>
      </c>
      <c r="C115" s="204"/>
      <c r="D115" s="84"/>
    </row>
    <row r="116" spans="1:8" ht="27.75" thickBot="1" x14ac:dyDescent="0.3">
      <c r="A116" s="8" t="s">
        <v>2</v>
      </c>
      <c r="B116" s="18" t="s">
        <v>14</v>
      </c>
      <c r="C116" s="205" t="s">
        <v>6</v>
      </c>
      <c r="D116" s="8" t="s">
        <v>12</v>
      </c>
    </row>
    <row r="117" spans="1:8" x14ac:dyDescent="0.25">
      <c r="A117" s="5"/>
      <c r="B117" s="4"/>
      <c r="C117" s="206" t="s">
        <v>30</v>
      </c>
      <c r="D117" s="9"/>
    </row>
    <row r="118" spans="1:8" x14ac:dyDescent="0.25">
      <c r="A118" s="182" t="s">
        <v>42</v>
      </c>
      <c r="B118" s="183">
        <v>2</v>
      </c>
      <c r="C118" s="207" t="s">
        <v>72</v>
      </c>
      <c r="D118" s="10"/>
    </row>
    <row r="119" spans="1:8" x14ac:dyDescent="0.25">
      <c r="A119" s="182" t="s">
        <v>91</v>
      </c>
      <c r="B119" s="183">
        <v>3</v>
      </c>
      <c r="C119" s="209" t="s">
        <v>86</v>
      </c>
      <c r="D119" s="10"/>
    </row>
    <row r="120" spans="1:8" x14ac:dyDescent="0.25">
      <c r="A120" s="182" t="s">
        <v>50</v>
      </c>
      <c r="B120" s="183">
        <v>19</v>
      </c>
      <c r="C120" s="209" t="s">
        <v>123</v>
      </c>
      <c r="D120" s="10"/>
    </row>
    <row r="121" spans="1:8" ht="12.75" customHeight="1" x14ac:dyDescent="0.25">
      <c r="A121" s="1"/>
      <c r="B121" s="2"/>
      <c r="C121" s="208" t="s">
        <v>31</v>
      </c>
      <c r="D121" s="10"/>
      <c r="F121" s="31"/>
      <c r="G121" s="32"/>
      <c r="H121" s="33"/>
    </row>
    <row r="122" spans="1:8" ht="15" x14ac:dyDescent="0.25">
      <c r="A122" s="182" t="s">
        <v>42</v>
      </c>
      <c r="B122" s="183">
        <v>2</v>
      </c>
      <c r="C122" s="207" t="s">
        <v>72</v>
      </c>
      <c r="D122" s="10"/>
      <c r="F122" s="34"/>
      <c r="G122" s="30"/>
      <c r="H122" s="30"/>
    </row>
    <row r="123" spans="1:8" ht="15" x14ac:dyDescent="0.25">
      <c r="A123" s="182" t="s">
        <v>91</v>
      </c>
      <c r="B123" s="183">
        <v>3</v>
      </c>
      <c r="C123" s="209" t="s">
        <v>86</v>
      </c>
      <c r="D123" s="10"/>
      <c r="F123" s="34"/>
      <c r="G123" s="30"/>
      <c r="H123" s="30"/>
    </row>
    <row r="124" spans="1:8" x14ac:dyDescent="0.25">
      <c r="A124" s="182" t="s">
        <v>50</v>
      </c>
      <c r="B124" s="183">
        <v>22</v>
      </c>
      <c r="C124" s="209" t="s">
        <v>123</v>
      </c>
      <c r="D124" s="10"/>
      <c r="F124" s="36"/>
      <c r="G124" s="37"/>
      <c r="H124" s="37"/>
    </row>
    <row r="125" spans="1:8" x14ac:dyDescent="0.25">
      <c r="A125" s="2"/>
      <c r="B125" s="2"/>
      <c r="C125" s="208" t="s">
        <v>32</v>
      </c>
      <c r="D125" s="10"/>
      <c r="F125" s="36"/>
      <c r="G125" s="37"/>
      <c r="H125" s="37"/>
    </row>
    <row r="126" spans="1:8" x14ac:dyDescent="0.25">
      <c r="A126" s="182" t="s">
        <v>42</v>
      </c>
      <c r="B126" s="183">
        <v>2</v>
      </c>
      <c r="C126" s="207" t="s">
        <v>72</v>
      </c>
      <c r="D126" s="10"/>
      <c r="F126" s="36"/>
      <c r="G126" s="37"/>
      <c r="H126" s="37"/>
    </row>
    <row r="127" spans="1:8" x14ac:dyDescent="0.25">
      <c r="A127" s="182" t="s">
        <v>91</v>
      </c>
      <c r="B127" s="183">
        <v>3</v>
      </c>
      <c r="C127" s="209" t="s">
        <v>86</v>
      </c>
      <c r="D127" s="10"/>
      <c r="F127" s="36"/>
      <c r="G127" s="37"/>
      <c r="H127" s="37"/>
    </row>
    <row r="128" spans="1:8" x14ac:dyDescent="0.25">
      <c r="A128" s="182" t="s">
        <v>50</v>
      </c>
      <c r="B128" s="183">
        <v>7</v>
      </c>
      <c r="C128" s="209" t="s">
        <v>123</v>
      </c>
      <c r="D128" s="51"/>
      <c r="F128" s="36"/>
      <c r="G128" s="37"/>
      <c r="H128" s="37"/>
    </row>
    <row r="129" spans="1:8" x14ac:dyDescent="0.25">
      <c r="A129" s="50"/>
      <c r="B129" s="50"/>
      <c r="C129" s="208" t="s">
        <v>33</v>
      </c>
      <c r="D129" s="51"/>
      <c r="F129" s="36"/>
      <c r="G129" s="37"/>
      <c r="H129" s="37"/>
    </row>
    <row r="130" spans="1:8" x14ac:dyDescent="0.25">
      <c r="A130" s="182" t="s">
        <v>42</v>
      </c>
      <c r="B130" s="183">
        <v>2</v>
      </c>
      <c r="C130" s="207" t="s">
        <v>72</v>
      </c>
      <c r="D130" s="51"/>
      <c r="F130" s="36"/>
      <c r="G130" s="37"/>
      <c r="H130" s="37"/>
    </row>
    <row r="131" spans="1:8" x14ac:dyDescent="0.25">
      <c r="A131" s="182" t="s">
        <v>91</v>
      </c>
      <c r="B131" s="183">
        <v>3</v>
      </c>
      <c r="C131" s="209" t="s">
        <v>86</v>
      </c>
      <c r="D131" s="181"/>
      <c r="F131" s="36"/>
      <c r="G131" s="37"/>
      <c r="H131" s="37"/>
    </row>
    <row r="132" spans="1:8" ht="14.25" thickBot="1" x14ac:dyDescent="0.3">
      <c r="A132" s="182" t="s">
        <v>50</v>
      </c>
      <c r="B132" s="183">
        <v>22</v>
      </c>
      <c r="C132" s="209" t="s">
        <v>123</v>
      </c>
      <c r="D132" s="181"/>
      <c r="F132" s="36"/>
      <c r="G132" s="37"/>
      <c r="H132" s="37"/>
    </row>
    <row r="133" spans="1:8" ht="14.25" thickBot="1" x14ac:dyDescent="0.3">
      <c r="A133" s="12" t="s">
        <v>21</v>
      </c>
      <c r="B133" s="12">
        <f>SUM(B117:B132)</f>
        <v>90</v>
      </c>
      <c r="C133" s="211" t="s">
        <v>28</v>
      </c>
      <c r="D133" s="13"/>
    </row>
    <row r="134" spans="1:8" ht="15" thickBot="1" x14ac:dyDescent="0.35">
      <c r="A134" s="14"/>
      <c r="B134" s="14"/>
      <c r="C134" s="212"/>
      <c r="D134" s="14"/>
    </row>
    <row r="135" spans="1:8" ht="18.75" thickBot="1" x14ac:dyDescent="0.3">
      <c r="A135" s="6" t="s">
        <v>13</v>
      </c>
      <c r="B135" s="7">
        <v>7</v>
      </c>
      <c r="C135" s="204"/>
      <c r="D135" s="84"/>
    </row>
    <row r="136" spans="1:8" ht="27.75" thickBot="1" x14ac:dyDescent="0.3">
      <c r="A136" s="8" t="s">
        <v>2</v>
      </c>
      <c r="B136" s="18" t="s">
        <v>14</v>
      </c>
      <c r="C136" s="205" t="s">
        <v>6</v>
      </c>
      <c r="D136" s="8" t="s">
        <v>12</v>
      </c>
    </row>
    <row r="137" spans="1:8" x14ac:dyDescent="0.25">
      <c r="A137" s="5"/>
      <c r="B137" s="4"/>
      <c r="C137" s="206" t="s">
        <v>30</v>
      </c>
      <c r="D137" s="9"/>
    </row>
    <row r="138" spans="1:8" x14ac:dyDescent="0.25">
      <c r="A138" s="182" t="s">
        <v>42</v>
      </c>
      <c r="B138" s="183">
        <v>2</v>
      </c>
      <c r="C138" s="207" t="s">
        <v>72</v>
      </c>
      <c r="D138" s="10"/>
    </row>
    <row r="139" spans="1:8" x14ac:dyDescent="0.25">
      <c r="A139" s="182" t="s">
        <v>91</v>
      </c>
      <c r="B139" s="183">
        <v>3</v>
      </c>
      <c r="C139" s="209" t="s">
        <v>86</v>
      </c>
      <c r="D139" s="10"/>
    </row>
    <row r="140" spans="1:8" x14ac:dyDescent="0.25">
      <c r="A140" s="182" t="s">
        <v>50</v>
      </c>
      <c r="B140" s="183">
        <v>19</v>
      </c>
      <c r="C140" s="209" t="s">
        <v>123</v>
      </c>
      <c r="D140" s="10"/>
    </row>
    <row r="141" spans="1:8" ht="12.75" customHeight="1" x14ac:dyDescent="0.25">
      <c r="A141" s="1"/>
      <c r="B141" s="2"/>
      <c r="C141" s="208" t="s">
        <v>31</v>
      </c>
      <c r="D141" s="10"/>
      <c r="F141" s="31"/>
      <c r="G141" s="32"/>
      <c r="H141" s="33"/>
    </row>
    <row r="142" spans="1:8" ht="15" x14ac:dyDescent="0.25">
      <c r="A142" s="182" t="s">
        <v>42</v>
      </c>
      <c r="B142" s="183">
        <v>2</v>
      </c>
      <c r="C142" s="207" t="s">
        <v>72</v>
      </c>
      <c r="D142" s="10"/>
      <c r="F142" s="34"/>
      <c r="G142" s="30"/>
      <c r="H142" s="30"/>
    </row>
    <row r="143" spans="1:8" ht="15" x14ac:dyDescent="0.25">
      <c r="A143" s="182" t="s">
        <v>91</v>
      </c>
      <c r="B143" s="183">
        <v>3</v>
      </c>
      <c r="C143" s="209" t="s">
        <v>86</v>
      </c>
      <c r="D143" s="10"/>
      <c r="F143" s="34"/>
      <c r="G143" s="30"/>
      <c r="H143" s="30"/>
    </row>
    <row r="144" spans="1:8" x14ac:dyDescent="0.25">
      <c r="A144" s="182" t="s">
        <v>50</v>
      </c>
      <c r="B144" s="183">
        <v>22</v>
      </c>
      <c r="C144" s="209" t="s">
        <v>123</v>
      </c>
      <c r="D144" s="10"/>
      <c r="F144" s="36"/>
      <c r="G144" s="37"/>
      <c r="H144" s="37"/>
    </row>
    <row r="145" spans="1:8" x14ac:dyDescent="0.25">
      <c r="A145" s="2"/>
      <c r="B145" s="2"/>
      <c r="C145" s="208" t="s">
        <v>32</v>
      </c>
      <c r="D145" s="10"/>
      <c r="F145" s="36"/>
      <c r="G145" s="37"/>
      <c r="H145" s="37"/>
    </row>
    <row r="146" spans="1:8" x14ac:dyDescent="0.25">
      <c r="A146" s="182" t="s">
        <v>42</v>
      </c>
      <c r="B146" s="183">
        <v>2</v>
      </c>
      <c r="C146" s="207" t="s">
        <v>72</v>
      </c>
      <c r="D146" s="10"/>
      <c r="F146" s="36"/>
      <c r="G146" s="37"/>
      <c r="H146" s="37"/>
    </row>
    <row r="147" spans="1:8" x14ac:dyDescent="0.25">
      <c r="A147" s="182" t="s">
        <v>91</v>
      </c>
      <c r="B147" s="183">
        <v>3</v>
      </c>
      <c r="C147" s="209" t="s">
        <v>86</v>
      </c>
      <c r="D147" s="10"/>
      <c r="F147" s="36"/>
      <c r="G147" s="37"/>
      <c r="H147" s="37"/>
    </row>
    <row r="148" spans="1:8" x14ac:dyDescent="0.25">
      <c r="A148" s="182" t="s">
        <v>50</v>
      </c>
      <c r="B148" s="183">
        <v>7</v>
      </c>
      <c r="C148" s="209" t="s">
        <v>123</v>
      </c>
      <c r="D148" s="51"/>
      <c r="F148" s="36"/>
      <c r="G148" s="37"/>
      <c r="H148" s="37"/>
    </row>
    <row r="149" spans="1:8" x14ac:dyDescent="0.25">
      <c r="A149" s="50"/>
      <c r="B149" s="50"/>
      <c r="C149" s="208" t="s">
        <v>33</v>
      </c>
      <c r="D149" s="51"/>
      <c r="F149" s="36"/>
      <c r="G149" s="37"/>
      <c r="H149" s="37"/>
    </row>
    <row r="150" spans="1:8" x14ac:dyDescent="0.25">
      <c r="A150" s="182" t="s">
        <v>42</v>
      </c>
      <c r="B150" s="183">
        <v>2</v>
      </c>
      <c r="C150" s="207" t="s">
        <v>72</v>
      </c>
      <c r="D150" s="51"/>
      <c r="F150" s="36"/>
      <c r="G150" s="37"/>
      <c r="H150" s="37"/>
    </row>
    <row r="151" spans="1:8" x14ac:dyDescent="0.25">
      <c r="A151" s="182" t="s">
        <v>91</v>
      </c>
      <c r="B151" s="183">
        <v>3</v>
      </c>
      <c r="C151" s="209" t="s">
        <v>86</v>
      </c>
      <c r="D151" s="181"/>
      <c r="F151" s="36"/>
      <c r="G151" s="37"/>
      <c r="H151" s="37"/>
    </row>
    <row r="152" spans="1:8" ht="14.25" thickBot="1" x14ac:dyDescent="0.3">
      <c r="A152" s="182" t="s">
        <v>50</v>
      </c>
      <c r="B152" s="183">
        <v>22</v>
      </c>
      <c r="C152" s="209" t="s">
        <v>123</v>
      </c>
      <c r="D152" s="181"/>
      <c r="F152" s="36"/>
      <c r="G152" s="37"/>
      <c r="H152" s="37"/>
    </row>
    <row r="153" spans="1:8" ht="14.25" thickBot="1" x14ac:dyDescent="0.3">
      <c r="A153" s="12" t="s">
        <v>21</v>
      </c>
      <c r="B153" s="12">
        <f>SUM(B137:B152)</f>
        <v>90</v>
      </c>
      <c r="C153" s="211" t="s">
        <v>28</v>
      </c>
      <c r="D153" s="13"/>
    </row>
    <row r="154" spans="1:8" ht="15" thickBot="1" x14ac:dyDescent="0.35">
      <c r="A154" s="14"/>
      <c r="B154" s="14"/>
      <c r="C154" s="212"/>
      <c r="D154" s="14"/>
    </row>
    <row r="155" spans="1:8" ht="18.75" thickBot="1" x14ac:dyDescent="0.3">
      <c r="A155" s="6" t="s">
        <v>13</v>
      </c>
      <c r="B155" s="7">
        <v>8</v>
      </c>
      <c r="C155" s="204"/>
      <c r="D155" s="84"/>
    </row>
    <row r="156" spans="1:8" ht="27.75" thickBot="1" x14ac:dyDescent="0.3">
      <c r="A156" s="8" t="s">
        <v>2</v>
      </c>
      <c r="B156" s="18" t="s">
        <v>14</v>
      </c>
      <c r="C156" s="205" t="s">
        <v>6</v>
      </c>
      <c r="D156" s="8" t="s">
        <v>12</v>
      </c>
    </row>
    <row r="157" spans="1:8" x14ac:dyDescent="0.25">
      <c r="A157" s="5"/>
      <c r="B157" s="4"/>
      <c r="C157" s="206" t="s">
        <v>30</v>
      </c>
      <c r="D157" s="9"/>
    </row>
    <row r="158" spans="1:8" x14ac:dyDescent="0.25">
      <c r="A158" s="182" t="s">
        <v>42</v>
      </c>
      <c r="B158" s="183">
        <v>2</v>
      </c>
      <c r="C158" s="207" t="s">
        <v>72</v>
      </c>
      <c r="D158" s="10"/>
    </row>
    <row r="159" spans="1:8" x14ac:dyDescent="0.25">
      <c r="A159" s="182" t="s">
        <v>91</v>
      </c>
      <c r="B159" s="183">
        <v>3</v>
      </c>
      <c r="C159" s="209" t="s">
        <v>86</v>
      </c>
      <c r="D159" s="10"/>
    </row>
    <row r="160" spans="1:8" x14ac:dyDescent="0.25">
      <c r="A160" s="182" t="s">
        <v>50</v>
      </c>
      <c r="B160" s="183">
        <v>19</v>
      </c>
      <c r="C160" s="209" t="s">
        <v>123</v>
      </c>
      <c r="D160" s="10"/>
    </row>
    <row r="161" spans="1:8" ht="12.75" customHeight="1" x14ac:dyDescent="0.25">
      <c r="A161" s="1"/>
      <c r="B161" s="2"/>
      <c r="C161" s="208" t="s">
        <v>31</v>
      </c>
      <c r="D161" s="10"/>
      <c r="F161" s="31"/>
      <c r="G161" s="32"/>
      <c r="H161" s="33"/>
    </row>
    <row r="162" spans="1:8" ht="15" x14ac:dyDescent="0.25">
      <c r="A162" s="182" t="s">
        <v>42</v>
      </c>
      <c r="B162" s="183">
        <v>2</v>
      </c>
      <c r="C162" s="207" t="s">
        <v>72</v>
      </c>
      <c r="D162" s="10"/>
      <c r="F162" s="34"/>
      <c r="G162" s="30"/>
      <c r="H162" s="30"/>
    </row>
    <row r="163" spans="1:8" ht="15" x14ac:dyDescent="0.25">
      <c r="A163" s="182" t="s">
        <v>91</v>
      </c>
      <c r="B163" s="183">
        <v>3</v>
      </c>
      <c r="C163" s="209" t="s">
        <v>86</v>
      </c>
      <c r="D163" s="10"/>
      <c r="F163" s="34"/>
      <c r="G163" s="30"/>
      <c r="H163" s="30"/>
    </row>
    <row r="164" spans="1:8" x14ac:dyDescent="0.25">
      <c r="A164" s="182" t="s">
        <v>50</v>
      </c>
      <c r="B164" s="183">
        <v>22</v>
      </c>
      <c r="C164" s="209" t="s">
        <v>123</v>
      </c>
      <c r="D164" s="10"/>
      <c r="F164" s="36"/>
      <c r="G164" s="37"/>
      <c r="H164" s="37"/>
    </row>
    <row r="165" spans="1:8" x14ac:dyDescent="0.25">
      <c r="A165" s="2"/>
      <c r="B165" s="2"/>
      <c r="C165" s="208" t="s">
        <v>32</v>
      </c>
      <c r="D165" s="10"/>
      <c r="F165" s="36"/>
      <c r="G165" s="37"/>
      <c r="H165" s="37"/>
    </row>
    <row r="166" spans="1:8" x14ac:dyDescent="0.25">
      <c r="A166" s="182" t="s">
        <v>42</v>
      </c>
      <c r="B166" s="183">
        <v>2</v>
      </c>
      <c r="C166" s="207" t="s">
        <v>72</v>
      </c>
      <c r="D166" s="10"/>
      <c r="F166" s="36"/>
      <c r="G166" s="37"/>
      <c r="H166" s="37"/>
    </row>
    <row r="167" spans="1:8" x14ac:dyDescent="0.25">
      <c r="A167" s="182" t="s">
        <v>91</v>
      </c>
      <c r="B167" s="183">
        <v>3</v>
      </c>
      <c r="C167" s="209" t="s">
        <v>86</v>
      </c>
      <c r="D167" s="10"/>
      <c r="F167" s="36"/>
      <c r="G167" s="37"/>
      <c r="H167" s="37"/>
    </row>
    <row r="168" spans="1:8" x14ac:dyDescent="0.25">
      <c r="A168" s="182" t="s">
        <v>50</v>
      </c>
      <c r="B168" s="183">
        <v>7</v>
      </c>
      <c r="C168" s="209" t="s">
        <v>123</v>
      </c>
      <c r="D168" s="51"/>
      <c r="F168" s="36"/>
      <c r="G168" s="37"/>
      <c r="H168" s="37"/>
    </row>
    <row r="169" spans="1:8" x14ac:dyDescent="0.25">
      <c r="A169" s="50"/>
      <c r="B169" s="50"/>
      <c r="C169" s="208" t="s">
        <v>33</v>
      </c>
      <c r="D169" s="51"/>
      <c r="F169" s="36"/>
      <c r="G169" s="37"/>
      <c r="H169" s="37"/>
    </row>
    <row r="170" spans="1:8" x14ac:dyDescent="0.25">
      <c r="A170" s="182" t="s">
        <v>42</v>
      </c>
      <c r="B170" s="183">
        <v>2</v>
      </c>
      <c r="C170" s="207" t="s">
        <v>72</v>
      </c>
      <c r="D170" s="51"/>
      <c r="F170" s="36"/>
      <c r="G170" s="37"/>
      <c r="H170" s="37"/>
    </row>
    <row r="171" spans="1:8" x14ac:dyDescent="0.25">
      <c r="A171" s="182" t="s">
        <v>91</v>
      </c>
      <c r="B171" s="183">
        <v>3</v>
      </c>
      <c r="C171" s="209" t="s">
        <v>86</v>
      </c>
      <c r="D171" s="181"/>
      <c r="F171" s="36"/>
      <c r="G171" s="37"/>
      <c r="H171" s="37"/>
    </row>
    <row r="172" spans="1:8" ht="14.25" thickBot="1" x14ac:dyDescent="0.3">
      <c r="A172" s="182" t="s">
        <v>50</v>
      </c>
      <c r="B172" s="183">
        <v>22</v>
      </c>
      <c r="C172" s="209" t="s">
        <v>123</v>
      </c>
      <c r="D172" s="181"/>
      <c r="F172" s="36"/>
      <c r="G172" s="37"/>
      <c r="H172" s="37"/>
    </row>
    <row r="173" spans="1:8" ht="14.25" thickBot="1" x14ac:dyDescent="0.3">
      <c r="A173" s="12" t="s">
        <v>21</v>
      </c>
      <c r="B173" s="12">
        <f>SUM(B157:B172)</f>
        <v>90</v>
      </c>
      <c r="C173" s="211" t="s">
        <v>28</v>
      </c>
      <c r="D173" s="13"/>
    </row>
    <row r="174" spans="1:8" ht="15" thickBot="1" x14ac:dyDescent="0.35">
      <c r="A174" s="14"/>
      <c r="B174" s="14"/>
      <c r="C174" s="212"/>
      <c r="D174" s="14"/>
    </row>
    <row r="175" spans="1:8" ht="18.75" thickBot="1" x14ac:dyDescent="0.3">
      <c r="A175" s="6" t="s">
        <v>13</v>
      </c>
      <c r="B175" s="7">
        <v>9</v>
      </c>
      <c r="C175" s="204"/>
      <c r="D175" s="84"/>
    </row>
    <row r="176" spans="1:8" ht="27.75" thickBot="1" x14ac:dyDescent="0.3">
      <c r="A176" s="8" t="s">
        <v>2</v>
      </c>
      <c r="B176" s="18" t="s">
        <v>14</v>
      </c>
      <c r="C176" s="205" t="s">
        <v>6</v>
      </c>
      <c r="D176" s="8" t="s">
        <v>12</v>
      </c>
    </row>
    <row r="177" spans="1:8" x14ac:dyDescent="0.25">
      <c r="A177" s="5"/>
      <c r="B177" s="4"/>
      <c r="C177" s="206" t="s">
        <v>30</v>
      </c>
      <c r="D177" s="9"/>
    </row>
    <row r="178" spans="1:8" x14ac:dyDescent="0.25">
      <c r="A178" s="182" t="s">
        <v>42</v>
      </c>
      <c r="B178" s="183">
        <v>2</v>
      </c>
      <c r="C178" s="207" t="s">
        <v>72</v>
      </c>
      <c r="D178" s="10"/>
    </row>
    <row r="179" spans="1:8" x14ac:dyDescent="0.25">
      <c r="A179" s="182" t="s">
        <v>91</v>
      </c>
      <c r="B179" s="183">
        <v>3</v>
      </c>
      <c r="C179" s="209" t="s">
        <v>86</v>
      </c>
      <c r="D179" s="10"/>
    </row>
    <row r="180" spans="1:8" x14ac:dyDescent="0.25">
      <c r="A180" s="182" t="s">
        <v>50</v>
      </c>
      <c r="B180" s="183">
        <v>19</v>
      </c>
      <c r="C180" s="209" t="s">
        <v>123</v>
      </c>
      <c r="D180" s="10"/>
    </row>
    <row r="181" spans="1:8" ht="12.75" customHeight="1" x14ac:dyDescent="0.25">
      <c r="A181" s="1"/>
      <c r="B181" s="2"/>
      <c r="C181" s="208" t="s">
        <v>31</v>
      </c>
      <c r="D181" s="10"/>
      <c r="F181" s="31"/>
      <c r="G181" s="32"/>
      <c r="H181" s="33"/>
    </row>
    <row r="182" spans="1:8" ht="15" x14ac:dyDescent="0.25">
      <c r="A182" s="182" t="s">
        <v>42</v>
      </c>
      <c r="B182" s="183">
        <v>2</v>
      </c>
      <c r="C182" s="207" t="s">
        <v>72</v>
      </c>
      <c r="D182" s="10"/>
      <c r="F182" s="34"/>
      <c r="G182" s="30"/>
      <c r="H182" s="30"/>
    </row>
    <row r="183" spans="1:8" ht="15" x14ac:dyDescent="0.25">
      <c r="A183" s="182" t="s">
        <v>91</v>
      </c>
      <c r="B183" s="183">
        <v>3</v>
      </c>
      <c r="C183" s="209" t="s">
        <v>86</v>
      </c>
      <c r="D183" s="10"/>
      <c r="F183" s="34"/>
      <c r="G183" s="30"/>
      <c r="H183" s="30"/>
    </row>
    <row r="184" spans="1:8" x14ac:dyDescent="0.25">
      <c r="A184" s="182" t="s">
        <v>50</v>
      </c>
      <c r="B184" s="183">
        <v>22</v>
      </c>
      <c r="C184" s="209" t="s">
        <v>123</v>
      </c>
      <c r="D184" s="10"/>
      <c r="F184" s="36"/>
      <c r="G184" s="37"/>
      <c r="H184" s="37"/>
    </row>
    <row r="185" spans="1:8" x14ac:dyDescent="0.25">
      <c r="A185" s="2"/>
      <c r="B185" s="2"/>
      <c r="C185" s="208" t="s">
        <v>32</v>
      </c>
      <c r="D185" s="10"/>
      <c r="F185" s="36"/>
      <c r="G185" s="37"/>
      <c r="H185" s="37"/>
    </row>
    <row r="186" spans="1:8" x14ac:dyDescent="0.25">
      <c r="A186" s="182" t="s">
        <v>42</v>
      </c>
      <c r="B186" s="183">
        <v>2</v>
      </c>
      <c r="C186" s="207" t="s">
        <v>72</v>
      </c>
      <c r="D186" s="10"/>
      <c r="F186" s="36"/>
      <c r="G186" s="37"/>
      <c r="H186" s="37"/>
    </row>
    <row r="187" spans="1:8" x14ac:dyDescent="0.25">
      <c r="A187" s="182" t="s">
        <v>91</v>
      </c>
      <c r="B187" s="183">
        <v>3</v>
      </c>
      <c r="C187" s="209" t="s">
        <v>86</v>
      </c>
      <c r="D187" s="10"/>
      <c r="F187" s="36"/>
      <c r="G187" s="37"/>
      <c r="H187" s="37"/>
    </row>
    <row r="188" spans="1:8" x14ac:dyDescent="0.25">
      <c r="A188" s="182" t="s">
        <v>50</v>
      </c>
      <c r="B188" s="183">
        <v>7</v>
      </c>
      <c r="C188" s="209" t="s">
        <v>123</v>
      </c>
      <c r="D188" s="51"/>
      <c r="F188" s="36"/>
      <c r="G188" s="37"/>
      <c r="H188" s="37"/>
    </row>
    <row r="189" spans="1:8" x14ac:dyDescent="0.25">
      <c r="A189" s="50"/>
      <c r="B189" s="50"/>
      <c r="C189" s="208" t="s">
        <v>33</v>
      </c>
      <c r="D189" s="51"/>
      <c r="F189" s="36"/>
      <c r="G189" s="37"/>
      <c r="H189" s="37"/>
    </row>
    <row r="190" spans="1:8" x14ac:dyDescent="0.25">
      <c r="A190" s="182" t="s">
        <v>42</v>
      </c>
      <c r="B190" s="183">
        <v>2</v>
      </c>
      <c r="C190" s="207" t="s">
        <v>72</v>
      </c>
      <c r="D190" s="51"/>
      <c r="F190" s="36"/>
      <c r="G190" s="37"/>
      <c r="H190" s="37"/>
    </row>
    <row r="191" spans="1:8" x14ac:dyDescent="0.25">
      <c r="A191" s="182" t="s">
        <v>91</v>
      </c>
      <c r="B191" s="183">
        <v>3</v>
      </c>
      <c r="C191" s="209" t="s">
        <v>86</v>
      </c>
      <c r="D191" s="181"/>
      <c r="F191" s="36"/>
      <c r="G191" s="37"/>
      <c r="H191" s="37"/>
    </row>
    <row r="192" spans="1:8" ht="14.25" thickBot="1" x14ac:dyDescent="0.3">
      <c r="A192" s="182" t="s">
        <v>50</v>
      </c>
      <c r="B192" s="183">
        <v>22</v>
      </c>
      <c r="C192" s="209" t="s">
        <v>123</v>
      </c>
      <c r="D192" s="181"/>
      <c r="F192" s="36"/>
      <c r="G192" s="37"/>
      <c r="H192" s="37"/>
    </row>
    <row r="193" spans="1:4" ht="14.25" thickBot="1" x14ac:dyDescent="0.3">
      <c r="A193" s="12" t="s">
        <v>21</v>
      </c>
      <c r="B193" s="12">
        <f>SUM(B177:B192)</f>
        <v>90</v>
      </c>
      <c r="C193" s="211" t="s">
        <v>28</v>
      </c>
      <c r="D193" s="13"/>
    </row>
    <row r="194" spans="1:4" ht="14.25" x14ac:dyDescent="0.3">
      <c r="A194" s="14"/>
      <c r="B194" s="14"/>
      <c r="C194" s="212"/>
      <c r="D194" s="14"/>
    </row>
    <row r="195" spans="1:4" x14ac:dyDescent="0.25">
      <c r="A195" s="87" t="s">
        <v>29</v>
      </c>
    </row>
  </sheetData>
  <sheetProtection insertRows="0" selectLockedCells="1"/>
  <dataValidations count="4">
    <dataValidation type="list" allowBlank="1" showInputMessage="1" showErrorMessage="1" sqref="A117:A132 A88:A89 A137:A152 A157:A172 A94:A112 A3:A26 A31:A56 A61:A83 A177:A192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7 B84 B90 B113 B133 B153 B173 B193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84:F192 F44:F59 B88:B89 B137:B152 B157:B172 B98:B112 B117:B132 F104:F112 F124:F132 F144:F152 F164:F172 F89 B3:B26 B31:B56 B61:B83 F72:F83 B94:B96 B177:B192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0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N8" sqref="N8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01">
        <v>44949</v>
      </c>
      <c r="D2" s="201"/>
      <c r="E2" s="201"/>
      <c r="F2" s="201"/>
      <c r="G2" s="201">
        <f>C2+7</f>
        <v>44956</v>
      </c>
      <c r="H2" s="201"/>
      <c r="I2" s="201"/>
      <c r="J2" s="201"/>
      <c r="K2" s="201">
        <f>G2+7</f>
        <v>44963</v>
      </c>
      <c r="L2" s="201"/>
      <c r="M2" s="201"/>
      <c r="N2" s="201"/>
      <c r="O2" s="201">
        <f>K2+7</f>
        <v>44970</v>
      </c>
      <c r="P2" s="201"/>
      <c r="Q2" s="201"/>
      <c r="R2" s="201"/>
      <c r="S2" s="201">
        <f>O2+7</f>
        <v>44977</v>
      </c>
      <c r="T2" s="201"/>
      <c r="U2" s="201"/>
      <c r="V2" s="201"/>
      <c r="W2" s="201">
        <f>S2+7</f>
        <v>44984</v>
      </c>
      <c r="X2" s="201"/>
      <c r="Y2" s="201"/>
      <c r="Z2" s="201"/>
      <c r="AA2" s="201">
        <f>W2+7</f>
        <v>44991</v>
      </c>
      <c r="AB2" s="201"/>
      <c r="AC2" s="201"/>
      <c r="AD2" s="201"/>
      <c r="AE2" s="201">
        <f>AA2+7</f>
        <v>44998</v>
      </c>
      <c r="AF2" s="201"/>
      <c r="AG2" s="201"/>
      <c r="AH2" s="201"/>
      <c r="AI2" s="201">
        <f>AE2+7</f>
        <v>45005</v>
      </c>
      <c r="AJ2" s="201"/>
      <c r="AK2" s="201"/>
      <c r="AL2" s="201"/>
    </row>
    <row r="3" spans="1:43" ht="14.25" thickBot="1" x14ac:dyDescent="0.3">
      <c r="C3" s="200" t="s">
        <v>62</v>
      </c>
      <c r="D3" s="200"/>
      <c r="E3" s="200"/>
      <c r="F3" s="200"/>
      <c r="G3" s="200" t="s">
        <v>63</v>
      </c>
      <c r="H3" s="200"/>
      <c r="I3" s="200"/>
      <c r="J3" s="200"/>
      <c r="K3" s="200" t="s">
        <v>64</v>
      </c>
      <c r="L3" s="200"/>
      <c r="M3" s="200"/>
      <c r="N3" s="200"/>
      <c r="O3" s="200" t="s">
        <v>65</v>
      </c>
      <c r="P3" s="200"/>
      <c r="Q3" s="200"/>
      <c r="R3" s="200"/>
      <c r="S3" s="200" t="s">
        <v>66</v>
      </c>
      <c r="T3" s="200"/>
      <c r="U3" s="200"/>
      <c r="V3" s="200"/>
      <c r="W3" s="200" t="s">
        <v>67</v>
      </c>
      <c r="X3" s="200"/>
      <c r="Y3" s="200"/>
      <c r="Z3" s="200"/>
      <c r="AA3" s="200" t="s">
        <v>68</v>
      </c>
      <c r="AB3" s="200"/>
      <c r="AC3" s="200"/>
      <c r="AD3" s="200"/>
      <c r="AE3" s="200" t="s">
        <v>69</v>
      </c>
      <c r="AF3" s="200"/>
      <c r="AG3" s="200"/>
      <c r="AH3" s="200"/>
      <c r="AI3" s="200" t="s">
        <v>70</v>
      </c>
      <c r="AJ3" s="200"/>
      <c r="AK3" s="200"/>
      <c r="AL3" s="200"/>
    </row>
    <row r="4" spans="1:43" ht="30" customHeight="1" x14ac:dyDescent="0.25">
      <c r="B4" s="5" t="s">
        <v>44</v>
      </c>
      <c r="C4" s="123"/>
      <c r="D4" s="124"/>
      <c r="E4" s="124"/>
      <c r="F4" s="125"/>
      <c r="G4" s="140"/>
      <c r="H4" s="141"/>
      <c r="I4" s="124"/>
      <c r="J4" s="125"/>
      <c r="K4" s="124"/>
      <c r="L4" s="124"/>
      <c r="M4" s="124"/>
      <c r="N4" s="125"/>
      <c r="O4" s="124"/>
      <c r="P4" s="124"/>
      <c r="Q4" s="124"/>
      <c r="R4" s="125"/>
      <c r="S4" s="124"/>
      <c r="T4" s="124"/>
      <c r="U4" s="124"/>
      <c r="V4" s="125"/>
      <c r="W4" s="124"/>
      <c r="X4" s="124"/>
      <c r="Y4" s="124"/>
      <c r="Z4" s="125"/>
      <c r="AA4" s="124"/>
      <c r="AB4" s="124"/>
      <c r="AC4" s="124"/>
      <c r="AD4" s="125"/>
      <c r="AE4" s="124"/>
      <c r="AF4" s="124"/>
      <c r="AG4" s="124"/>
      <c r="AH4" s="125"/>
      <c r="AI4" s="124"/>
      <c r="AJ4" s="124"/>
      <c r="AK4" s="124"/>
      <c r="AL4" s="125"/>
    </row>
    <row r="5" spans="1:43" ht="30" customHeight="1" x14ac:dyDescent="0.25">
      <c r="B5" s="1" t="s">
        <v>45</v>
      </c>
      <c r="C5" s="126"/>
      <c r="D5" s="138"/>
      <c r="E5" s="127"/>
      <c r="F5" s="128"/>
      <c r="G5" s="134"/>
      <c r="H5" s="127"/>
      <c r="I5" s="138"/>
      <c r="J5" s="139"/>
      <c r="K5" s="138"/>
      <c r="L5" s="127"/>
      <c r="M5" s="127"/>
      <c r="N5" s="128"/>
      <c r="O5" s="127"/>
      <c r="P5" s="127"/>
      <c r="Q5" s="127"/>
      <c r="R5" s="128"/>
      <c r="S5" s="127"/>
      <c r="T5" s="127"/>
      <c r="U5" s="127"/>
      <c r="V5" s="128"/>
      <c r="W5" s="127"/>
      <c r="X5" s="127"/>
      <c r="Y5" s="127"/>
      <c r="Z5" s="128"/>
      <c r="AA5" s="127"/>
      <c r="AB5" s="127"/>
      <c r="AC5" s="127"/>
      <c r="AD5" s="128"/>
      <c r="AE5" s="127"/>
      <c r="AF5" s="127"/>
      <c r="AG5" s="127"/>
      <c r="AH5" s="128"/>
      <c r="AI5" s="127"/>
      <c r="AJ5" s="127"/>
      <c r="AK5" s="127"/>
      <c r="AL5" s="128"/>
    </row>
    <row r="6" spans="1:43" ht="30" customHeight="1" x14ac:dyDescent="0.25">
      <c r="B6" s="1" t="s">
        <v>46</v>
      </c>
      <c r="C6" s="126"/>
      <c r="D6" s="127"/>
      <c r="E6" s="127"/>
      <c r="F6" s="128"/>
      <c r="G6" s="134"/>
      <c r="H6" s="127"/>
      <c r="I6" s="127"/>
      <c r="J6" s="128"/>
      <c r="K6" s="127"/>
      <c r="L6" s="138"/>
      <c r="M6" s="127"/>
      <c r="N6" s="128"/>
      <c r="O6" s="127"/>
      <c r="P6" s="127"/>
      <c r="Q6" s="127"/>
      <c r="R6" s="128"/>
      <c r="S6" s="127"/>
      <c r="T6" s="127"/>
      <c r="U6" s="127"/>
      <c r="V6" s="128"/>
      <c r="W6" s="127"/>
      <c r="X6" s="127"/>
      <c r="Y6" s="127"/>
      <c r="Z6" s="128"/>
      <c r="AA6" s="127"/>
      <c r="AB6" s="127"/>
      <c r="AC6" s="127"/>
      <c r="AD6" s="128"/>
      <c r="AE6" s="127"/>
      <c r="AF6" s="127"/>
      <c r="AG6" s="127"/>
      <c r="AH6" s="128"/>
      <c r="AI6" s="127"/>
      <c r="AJ6" s="127"/>
      <c r="AK6" s="127"/>
      <c r="AL6" s="128"/>
    </row>
    <row r="7" spans="1:43" ht="30" customHeight="1" x14ac:dyDescent="0.25">
      <c r="B7" s="1" t="s">
        <v>47</v>
      </c>
      <c r="C7" s="126"/>
      <c r="D7" s="127"/>
      <c r="E7" s="127"/>
      <c r="F7" s="128"/>
      <c r="G7" s="134"/>
      <c r="H7" s="127"/>
      <c r="I7" s="127"/>
      <c r="J7" s="128"/>
      <c r="K7" s="127"/>
      <c r="L7" s="127"/>
      <c r="M7" s="138"/>
      <c r="N7" s="139"/>
      <c r="O7" s="127"/>
      <c r="P7" s="127"/>
      <c r="Q7" s="127"/>
      <c r="R7" s="128"/>
      <c r="S7" s="138"/>
      <c r="T7" s="138"/>
      <c r="U7" s="142"/>
      <c r="V7" s="128"/>
      <c r="W7" s="138"/>
      <c r="X7" s="138"/>
      <c r="Y7" s="142"/>
      <c r="Z7" s="143"/>
      <c r="AA7" s="138"/>
      <c r="AB7" s="138"/>
      <c r="AC7" s="142"/>
      <c r="AD7" s="143"/>
      <c r="AE7" s="127"/>
      <c r="AF7" s="127"/>
      <c r="AG7" s="127"/>
      <c r="AH7" s="128"/>
      <c r="AI7" s="127"/>
      <c r="AJ7" s="127"/>
      <c r="AK7" s="127"/>
      <c r="AL7" s="128"/>
      <c r="AN7" s="146"/>
      <c r="AO7" s="202" t="s">
        <v>71</v>
      </c>
      <c r="AP7" s="202"/>
      <c r="AQ7" s="202"/>
    </row>
    <row r="8" spans="1:43" ht="30" customHeight="1" x14ac:dyDescent="0.25">
      <c r="B8" s="1" t="s">
        <v>48</v>
      </c>
      <c r="C8" s="129"/>
      <c r="D8" s="127"/>
      <c r="E8" s="138"/>
      <c r="F8" s="139"/>
      <c r="G8" s="134"/>
      <c r="H8" s="127"/>
      <c r="I8" s="127"/>
      <c r="J8" s="128"/>
      <c r="K8" s="127"/>
      <c r="L8" s="127"/>
      <c r="M8" s="127"/>
      <c r="N8" s="128"/>
      <c r="O8" s="127"/>
      <c r="P8" s="127"/>
      <c r="Q8" s="127"/>
      <c r="R8" s="128"/>
      <c r="S8" s="127"/>
      <c r="T8" s="127"/>
      <c r="U8" s="138"/>
      <c r="V8" s="143"/>
      <c r="W8" s="127"/>
      <c r="X8" s="127"/>
      <c r="Y8" s="138"/>
      <c r="Z8" s="143"/>
      <c r="AA8" s="127"/>
      <c r="AB8" s="127"/>
      <c r="AC8" s="138"/>
      <c r="AD8" s="143"/>
      <c r="AE8" s="138"/>
      <c r="AF8" s="138"/>
      <c r="AG8" s="127"/>
      <c r="AH8" s="128"/>
      <c r="AI8" s="127"/>
      <c r="AJ8" s="127"/>
      <c r="AK8" s="127"/>
      <c r="AL8" s="128"/>
      <c r="AN8" s="147"/>
      <c r="AO8" s="202" t="s">
        <v>34</v>
      </c>
      <c r="AP8" s="202"/>
      <c r="AQ8" s="202"/>
    </row>
    <row r="9" spans="1:43" ht="30" customHeight="1" x14ac:dyDescent="0.25">
      <c r="B9" s="1" t="s">
        <v>49</v>
      </c>
      <c r="C9" s="126"/>
      <c r="D9" s="127"/>
      <c r="E9" s="127"/>
      <c r="F9" s="128"/>
      <c r="G9" s="134"/>
      <c r="H9" s="127"/>
      <c r="I9" s="127"/>
      <c r="J9" s="128"/>
      <c r="K9" s="127"/>
      <c r="L9" s="127"/>
      <c r="M9" s="127"/>
      <c r="N9" s="128"/>
      <c r="O9" s="127"/>
      <c r="P9" s="127"/>
      <c r="Q9" s="127"/>
      <c r="R9" s="128"/>
      <c r="S9" s="127"/>
      <c r="T9" s="127"/>
      <c r="U9" s="127"/>
      <c r="V9" s="143"/>
      <c r="W9" s="127"/>
      <c r="X9" s="127"/>
      <c r="Y9" s="127"/>
      <c r="Z9" s="128"/>
      <c r="AA9" s="127"/>
      <c r="AB9" s="127"/>
      <c r="AC9" s="127"/>
      <c r="AD9" s="128"/>
      <c r="AE9" s="127"/>
      <c r="AF9" s="127"/>
      <c r="AG9" s="142"/>
      <c r="AH9" s="139"/>
      <c r="AI9" s="138"/>
      <c r="AJ9" s="127"/>
      <c r="AK9" s="127"/>
      <c r="AL9" s="128"/>
    </row>
    <row r="10" spans="1:43" ht="30" customHeight="1" x14ac:dyDescent="0.25">
      <c r="B10" s="184" t="s">
        <v>103</v>
      </c>
      <c r="C10" s="130"/>
      <c r="D10" s="142"/>
      <c r="E10" s="127"/>
      <c r="F10" s="128"/>
      <c r="G10" s="134"/>
      <c r="H10" s="127"/>
      <c r="I10" s="127"/>
      <c r="J10" s="128"/>
      <c r="K10" s="127"/>
      <c r="L10" s="127"/>
      <c r="M10" s="127"/>
      <c r="N10" s="128"/>
      <c r="O10" s="127"/>
      <c r="P10" s="127"/>
      <c r="Q10" s="127"/>
      <c r="R10" s="128"/>
      <c r="S10" s="127"/>
      <c r="T10" s="127"/>
      <c r="U10" s="127"/>
      <c r="V10" s="139"/>
      <c r="W10" s="127"/>
      <c r="X10" s="127"/>
      <c r="Y10" s="127"/>
      <c r="Z10" s="139"/>
      <c r="AA10" s="127"/>
      <c r="AB10" s="127"/>
      <c r="AC10" s="127"/>
      <c r="AD10" s="139"/>
      <c r="AE10" s="127"/>
      <c r="AF10" s="127"/>
      <c r="AG10" s="138"/>
      <c r="AH10" s="128"/>
      <c r="AJ10" s="138"/>
      <c r="AK10" s="139"/>
      <c r="AL10" s="138"/>
    </row>
    <row r="11" spans="1:43" ht="30" customHeight="1" x14ac:dyDescent="0.25">
      <c r="B11" s="122" t="s">
        <v>50</v>
      </c>
      <c r="C11" s="137"/>
      <c r="D11" s="127"/>
      <c r="E11" s="127"/>
      <c r="F11" s="128"/>
      <c r="G11" s="134"/>
      <c r="H11" s="127"/>
      <c r="I11" s="127"/>
      <c r="J11" s="128"/>
      <c r="K11" s="127"/>
      <c r="L11" s="127"/>
      <c r="M11" s="127"/>
      <c r="N11" s="128"/>
      <c r="O11" s="127"/>
      <c r="P11" s="127"/>
      <c r="Q11" s="127"/>
      <c r="R11" s="128"/>
      <c r="S11" s="127"/>
      <c r="T11" s="127"/>
      <c r="U11" s="127"/>
      <c r="V11" s="128"/>
      <c r="W11" s="127"/>
      <c r="X11" s="127"/>
      <c r="Y11" s="127"/>
      <c r="Z11" s="128"/>
      <c r="AA11" s="127"/>
      <c r="AB11" s="127"/>
      <c r="AC11" s="127"/>
      <c r="AD11" s="128"/>
      <c r="AE11" s="127"/>
      <c r="AF11" s="127"/>
      <c r="AG11" s="127"/>
      <c r="AH11" s="128"/>
      <c r="AI11" s="127"/>
      <c r="AJ11" s="127"/>
      <c r="AK11" s="127"/>
      <c r="AL11" s="128"/>
    </row>
    <row r="12" spans="1:43" ht="30" customHeight="1" thickBot="1" x14ac:dyDescent="0.3">
      <c r="B12" s="185" t="s">
        <v>93</v>
      </c>
      <c r="C12" s="131"/>
      <c r="D12" s="132"/>
      <c r="E12" s="132"/>
      <c r="F12" s="136"/>
      <c r="G12" s="135"/>
      <c r="H12" s="132"/>
      <c r="I12" s="132"/>
      <c r="J12" s="136"/>
      <c r="K12" s="132"/>
      <c r="L12" s="132"/>
      <c r="M12" s="132"/>
      <c r="N12" s="136"/>
      <c r="O12" s="144"/>
      <c r="P12" s="144"/>
      <c r="Q12" s="144"/>
      <c r="R12" s="145"/>
      <c r="S12" s="132"/>
      <c r="T12" s="132"/>
      <c r="U12" s="132"/>
      <c r="V12" s="136"/>
      <c r="W12" s="132"/>
      <c r="X12" s="132"/>
      <c r="Y12" s="132"/>
      <c r="Z12" s="136"/>
      <c r="AA12" s="132"/>
      <c r="AB12" s="132"/>
      <c r="AC12" s="132"/>
      <c r="AD12" s="136"/>
      <c r="AE12" s="132"/>
      <c r="AF12" s="132"/>
      <c r="AG12" s="132"/>
      <c r="AH12" s="136"/>
      <c r="AI12" s="132"/>
      <c r="AJ12" s="132"/>
      <c r="AK12" s="132"/>
      <c r="AL12" s="133"/>
    </row>
    <row r="13" spans="1:43" x14ac:dyDescent="0.25">
      <c r="A13" s="119"/>
      <c r="B13" s="121"/>
    </row>
    <row r="14" spans="1:43" x14ac:dyDescent="0.25">
      <c r="A14" s="119"/>
      <c r="B14" s="121"/>
    </row>
    <row r="15" spans="1:43" x14ac:dyDescent="0.25">
      <c r="A15" s="119"/>
      <c r="B15" s="121"/>
    </row>
    <row r="16" spans="1:43" x14ac:dyDescent="0.25">
      <c r="A16" s="119"/>
      <c r="B16" s="121"/>
    </row>
    <row r="17" spans="1:2" x14ac:dyDescent="0.25">
      <c r="A17" s="119"/>
      <c r="B17" s="120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0213-D37D-463C-8C5C-1B36264ABF31}">
  <sheetPr>
    <pageSetUpPr fitToPage="1"/>
  </sheetPr>
  <dimension ref="A1:D184"/>
  <sheetViews>
    <sheetView topLeftCell="A19" workbookViewId="0">
      <selection activeCell="C56" sqref="C56"/>
    </sheetView>
  </sheetViews>
  <sheetFormatPr baseColWidth="10" defaultRowHeight="13.5" x14ac:dyDescent="0.25"/>
  <cols>
    <col min="1" max="1" width="24.7109375" customWidth="1"/>
    <col min="2" max="2" width="6.85546875" bestFit="1" customWidth="1"/>
    <col min="3" max="3" width="73.7109375" customWidth="1"/>
    <col min="4" max="4" width="22.85546875" bestFit="1" customWidth="1"/>
  </cols>
  <sheetData>
    <row r="1" spans="1:4" ht="18.75" thickBot="1" x14ac:dyDescent="0.3">
      <c r="A1" s="6" t="s">
        <v>13</v>
      </c>
      <c r="B1" s="7">
        <v>1</v>
      </c>
      <c r="C1" s="204"/>
      <c r="D1" s="84"/>
    </row>
    <row r="2" spans="1:4" ht="27.75" thickBot="1" x14ac:dyDescent="0.3">
      <c r="A2" s="8" t="s">
        <v>2</v>
      </c>
      <c r="B2" s="18" t="s">
        <v>14</v>
      </c>
      <c r="C2" s="205" t="s">
        <v>6</v>
      </c>
      <c r="D2" s="8" t="s">
        <v>12</v>
      </c>
    </row>
    <row r="3" spans="1:4" x14ac:dyDescent="0.25">
      <c r="A3" s="5"/>
      <c r="B3" s="4"/>
      <c r="C3" s="206" t="s">
        <v>30</v>
      </c>
      <c r="D3" s="9"/>
    </row>
    <row r="4" spans="1:4" x14ac:dyDescent="0.25">
      <c r="A4" s="1" t="s">
        <v>20</v>
      </c>
      <c r="B4" s="2">
        <v>12</v>
      </c>
      <c r="C4" s="207" t="s">
        <v>35</v>
      </c>
      <c r="D4" s="88"/>
    </row>
    <row r="5" spans="1:4" x14ac:dyDescent="0.25">
      <c r="A5" s="1" t="s">
        <v>20</v>
      </c>
      <c r="B5" s="2">
        <v>1</v>
      </c>
      <c r="C5" s="207" t="s">
        <v>36</v>
      </c>
      <c r="D5" s="88"/>
    </row>
    <row r="6" spans="1:4" x14ac:dyDescent="0.25">
      <c r="A6" s="1" t="s">
        <v>20</v>
      </c>
      <c r="B6" s="2">
        <v>1</v>
      </c>
      <c r="C6" s="207" t="s">
        <v>37</v>
      </c>
      <c r="D6" s="88"/>
    </row>
    <row r="7" spans="1:4" ht="27" x14ac:dyDescent="0.25">
      <c r="A7" s="1" t="s">
        <v>44</v>
      </c>
      <c r="B7" s="2">
        <v>1</v>
      </c>
      <c r="C7" s="207" t="s">
        <v>38</v>
      </c>
      <c r="D7" s="88"/>
    </row>
    <row r="8" spans="1:4" ht="27" x14ac:dyDescent="0.25">
      <c r="A8" s="1" t="s">
        <v>44</v>
      </c>
      <c r="B8" s="2">
        <v>3</v>
      </c>
      <c r="C8" s="207" t="s">
        <v>40</v>
      </c>
      <c r="D8" s="88"/>
    </row>
    <row r="9" spans="1:4" x14ac:dyDescent="0.25">
      <c r="A9" s="1" t="s">
        <v>42</v>
      </c>
      <c r="B9" s="2">
        <v>1</v>
      </c>
      <c r="C9" s="207" t="s">
        <v>39</v>
      </c>
      <c r="D9" s="10"/>
    </row>
    <row r="10" spans="1:4" ht="27" x14ac:dyDescent="0.25">
      <c r="A10" s="1" t="s">
        <v>48</v>
      </c>
      <c r="B10" s="2">
        <v>5</v>
      </c>
      <c r="C10" s="207" t="s">
        <v>41</v>
      </c>
      <c r="D10" s="10"/>
    </row>
    <row r="11" spans="1:4" x14ac:dyDescent="0.25">
      <c r="A11" s="1"/>
      <c r="B11" s="2"/>
      <c r="C11" s="208" t="s">
        <v>31</v>
      </c>
      <c r="D11" s="10"/>
    </row>
    <row r="12" spans="1:4" x14ac:dyDescent="0.25">
      <c r="A12" s="1" t="s">
        <v>50</v>
      </c>
      <c r="B12" s="2">
        <v>1</v>
      </c>
      <c r="C12" s="209" t="s">
        <v>52</v>
      </c>
      <c r="D12" s="10"/>
    </row>
    <row r="13" spans="1:4" ht="27" x14ac:dyDescent="0.25">
      <c r="A13" s="1" t="s">
        <v>50</v>
      </c>
      <c r="B13" s="2">
        <v>3</v>
      </c>
      <c r="C13" s="207" t="s">
        <v>51</v>
      </c>
      <c r="D13" s="10"/>
    </row>
    <row r="14" spans="1:4" ht="27" x14ac:dyDescent="0.25">
      <c r="A14" s="1" t="s">
        <v>48</v>
      </c>
      <c r="B14" s="2">
        <v>17</v>
      </c>
      <c r="C14" s="207" t="s">
        <v>75</v>
      </c>
      <c r="D14" s="10"/>
    </row>
    <row r="15" spans="1:4" ht="27" x14ac:dyDescent="0.25">
      <c r="A15" s="1" t="s">
        <v>45</v>
      </c>
      <c r="B15" s="2">
        <v>2</v>
      </c>
      <c r="C15" s="207" t="s">
        <v>73</v>
      </c>
      <c r="D15" s="10"/>
    </row>
    <row r="16" spans="1:4" x14ac:dyDescent="0.25">
      <c r="A16" s="1" t="s">
        <v>91</v>
      </c>
      <c r="B16" s="2">
        <v>4</v>
      </c>
      <c r="C16" s="207" t="s">
        <v>74</v>
      </c>
      <c r="D16" s="10"/>
    </row>
    <row r="17" spans="1:4" x14ac:dyDescent="0.25">
      <c r="A17" s="1"/>
      <c r="B17" s="2"/>
      <c r="C17" s="207"/>
      <c r="D17" s="10"/>
    </row>
    <row r="18" spans="1:4" x14ac:dyDescent="0.25">
      <c r="A18" s="1"/>
      <c r="B18" s="2"/>
      <c r="C18" s="208" t="s">
        <v>32</v>
      </c>
      <c r="D18" s="10"/>
    </row>
    <row r="19" spans="1:4" x14ac:dyDescent="0.25">
      <c r="A19" s="1" t="s">
        <v>42</v>
      </c>
      <c r="B19" s="2">
        <v>1</v>
      </c>
      <c r="C19" s="207" t="s">
        <v>72</v>
      </c>
      <c r="D19" s="10"/>
    </row>
    <row r="20" spans="1:4" ht="27" x14ac:dyDescent="0.25">
      <c r="A20" s="1" t="s">
        <v>48</v>
      </c>
      <c r="B20" s="2">
        <v>11</v>
      </c>
      <c r="C20" s="207" t="s">
        <v>75</v>
      </c>
      <c r="D20" s="10"/>
    </row>
    <row r="21" spans="1:4" x14ac:dyDescent="0.25">
      <c r="A21" s="1"/>
      <c r="B21" s="2"/>
      <c r="C21" s="207"/>
      <c r="D21" s="10"/>
    </row>
    <row r="22" spans="1:4" x14ac:dyDescent="0.25">
      <c r="A22" s="1"/>
      <c r="B22" s="2"/>
      <c r="C22" s="208" t="s">
        <v>33</v>
      </c>
      <c r="D22" s="10"/>
    </row>
    <row r="23" spans="1:4" x14ac:dyDescent="0.25">
      <c r="A23" s="1" t="s">
        <v>42</v>
      </c>
      <c r="B23" s="2">
        <v>1</v>
      </c>
      <c r="C23" s="207" t="s">
        <v>72</v>
      </c>
      <c r="D23" s="10"/>
    </row>
    <row r="24" spans="1:4" ht="27" x14ac:dyDescent="0.25">
      <c r="A24" s="2" t="s">
        <v>48</v>
      </c>
      <c r="B24" s="2">
        <v>23</v>
      </c>
      <c r="C24" s="207" t="s">
        <v>75</v>
      </c>
      <c r="D24" s="10"/>
    </row>
    <row r="25" spans="1:4" ht="27" x14ac:dyDescent="0.25">
      <c r="A25" s="2" t="s">
        <v>44</v>
      </c>
      <c r="B25" s="2">
        <v>3</v>
      </c>
      <c r="C25" s="207" t="s">
        <v>76</v>
      </c>
      <c r="D25" s="10"/>
    </row>
    <row r="26" spans="1:4" ht="14.25" thickBot="1" x14ac:dyDescent="0.3">
      <c r="A26" s="3"/>
      <c r="B26" s="3"/>
      <c r="C26" s="210"/>
      <c r="D26" s="11"/>
    </row>
    <row r="27" spans="1:4" ht="14.25" thickBot="1" x14ac:dyDescent="0.3">
      <c r="A27" s="12" t="s">
        <v>21</v>
      </c>
      <c r="B27" s="12">
        <f>SUM(B3:B26)</f>
        <v>90</v>
      </c>
      <c r="C27" s="211" t="s">
        <v>28</v>
      </c>
      <c r="D27" s="13"/>
    </row>
    <row r="28" spans="1:4" ht="15" thickBot="1" x14ac:dyDescent="0.35">
      <c r="A28" s="14"/>
      <c r="B28" s="14"/>
      <c r="C28" s="212"/>
      <c r="D28" s="14"/>
    </row>
    <row r="29" spans="1:4" ht="18.75" thickBot="1" x14ac:dyDescent="0.3">
      <c r="A29" s="6" t="s">
        <v>13</v>
      </c>
      <c r="B29" s="7">
        <v>2</v>
      </c>
      <c r="C29" s="204"/>
      <c r="D29" s="84"/>
    </row>
    <row r="30" spans="1:4" ht="27.75" thickBot="1" x14ac:dyDescent="0.3">
      <c r="A30" s="8" t="s">
        <v>2</v>
      </c>
      <c r="B30" s="18" t="s">
        <v>14</v>
      </c>
      <c r="C30" s="205" t="s">
        <v>6</v>
      </c>
      <c r="D30" s="8" t="s">
        <v>12</v>
      </c>
    </row>
    <row r="31" spans="1:4" x14ac:dyDescent="0.25">
      <c r="A31" s="5"/>
      <c r="B31" s="4"/>
      <c r="C31" s="206" t="s">
        <v>30</v>
      </c>
      <c r="D31" s="9"/>
    </row>
    <row r="32" spans="1:4" ht="27" x14ac:dyDescent="0.25">
      <c r="A32" s="182" t="s">
        <v>45</v>
      </c>
      <c r="B32" s="183">
        <v>6</v>
      </c>
      <c r="C32" s="213" t="s">
        <v>107</v>
      </c>
      <c r="D32" s="88"/>
    </row>
    <row r="33" spans="1:4" x14ac:dyDescent="0.25">
      <c r="A33" s="182" t="s">
        <v>42</v>
      </c>
      <c r="B33" s="183">
        <v>2</v>
      </c>
      <c r="C33" s="207" t="s">
        <v>72</v>
      </c>
      <c r="D33" s="88"/>
    </row>
    <row r="34" spans="1:4" x14ac:dyDescent="0.25">
      <c r="A34" s="182" t="s">
        <v>91</v>
      </c>
      <c r="B34" s="183">
        <v>6</v>
      </c>
      <c r="C34" s="209" t="s">
        <v>86</v>
      </c>
      <c r="D34" s="88"/>
    </row>
    <row r="35" spans="1:4" ht="27" x14ac:dyDescent="0.25">
      <c r="A35" s="1" t="s">
        <v>94</v>
      </c>
      <c r="B35" s="2">
        <v>4</v>
      </c>
      <c r="C35" s="209" t="s">
        <v>108</v>
      </c>
      <c r="D35" s="10"/>
    </row>
    <row r="36" spans="1:4" ht="27" x14ac:dyDescent="0.25">
      <c r="A36" s="1" t="s">
        <v>98</v>
      </c>
      <c r="B36" s="2">
        <v>6</v>
      </c>
      <c r="C36" s="209" t="s">
        <v>109</v>
      </c>
      <c r="D36" s="10"/>
    </row>
    <row r="37" spans="1:4" x14ac:dyDescent="0.25">
      <c r="A37" s="1"/>
      <c r="B37" s="2"/>
      <c r="C37" s="208" t="s">
        <v>31</v>
      </c>
      <c r="D37" s="10"/>
    </row>
    <row r="38" spans="1:4" x14ac:dyDescent="0.25">
      <c r="A38" s="182" t="s">
        <v>42</v>
      </c>
      <c r="B38" s="183">
        <v>2</v>
      </c>
      <c r="C38" s="207" t="s">
        <v>72</v>
      </c>
      <c r="D38" s="10"/>
    </row>
    <row r="39" spans="1:4" x14ac:dyDescent="0.25">
      <c r="A39" s="182" t="s">
        <v>91</v>
      </c>
      <c r="B39" s="183">
        <v>3</v>
      </c>
      <c r="C39" s="209" t="s">
        <v>86</v>
      </c>
      <c r="D39" s="10"/>
    </row>
    <row r="40" spans="1:4" ht="27" x14ac:dyDescent="0.25">
      <c r="A40" s="182" t="s">
        <v>98</v>
      </c>
      <c r="B40" s="183">
        <v>3</v>
      </c>
      <c r="C40" s="209" t="s">
        <v>110</v>
      </c>
      <c r="D40" s="10"/>
    </row>
    <row r="41" spans="1:4" x14ac:dyDescent="0.25">
      <c r="A41" s="182" t="s">
        <v>20</v>
      </c>
      <c r="B41" s="183">
        <v>2</v>
      </c>
      <c r="C41" s="209" t="s">
        <v>111</v>
      </c>
      <c r="D41" s="10"/>
    </row>
    <row r="42" spans="1:4" ht="38.25" customHeight="1" x14ac:dyDescent="0.25">
      <c r="A42" s="182" t="s">
        <v>104</v>
      </c>
      <c r="B42" s="183">
        <v>17</v>
      </c>
      <c r="C42" s="209" t="s">
        <v>112</v>
      </c>
      <c r="D42" s="10"/>
    </row>
    <row r="43" spans="1:4" x14ac:dyDescent="0.25">
      <c r="A43" s="2"/>
      <c r="B43" s="2"/>
      <c r="C43" s="208" t="s">
        <v>32</v>
      </c>
      <c r="D43" s="10"/>
    </row>
    <row r="44" spans="1:4" x14ac:dyDescent="0.25">
      <c r="A44" s="182" t="s">
        <v>42</v>
      </c>
      <c r="B44" s="183">
        <v>2</v>
      </c>
      <c r="C44" s="207" t="s">
        <v>72</v>
      </c>
      <c r="D44" s="10"/>
    </row>
    <row r="45" spans="1:4" x14ac:dyDescent="0.25">
      <c r="A45" s="182" t="s">
        <v>91</v>
      </c>
      <c r="B45" s="183">
        <v>3</v>
      </c>
      <c r="C45" s="209" t="s">
        <v>86</v>
      </c>
      <c r="D45" s="10"/>
    </row>
    <row r="46" spans="1:4" ht="40.5" x14ac:dyDescent="0.25">
      <c r="A46" s="203" t="s">
        <v>104</v>
      </c>
      <c r="B46" s="179">
        <v>4</v>
      </c>
      <c r="C46" s="209" t="s">
        <v>113</v>
      </c>
      <c r="D46" s="51"/>
    </row>
    <row r="47" spans="1:4" x14ac:dyDescent="0.25">
      <c r="A47" s="203" t="s">
        <v>95</v>
      </c>
      <c r="B47" s="179">
        <v>3</v>
      </c>
      <c r="C47" s="209" t="s">
        <v>118</v>
      </c>
      <c r="D47" s="51"/>
    </row>
    <row r="48" spans="1:4" x14ac:dyDescent="0.25">
      <c r="A48" s="50"/>
      <c r="B48" s="50"/>
      <c r="C48" s="208" t="s">
        <v>33</v>
      </c>
      <c r="D48" s="51"/>
    </row>
    <row r="49" spans="1:4" x14ac:dyDescent="0.25">
      <c r="A49" s="182" t="s">
        <v>42</v>
      </c>
      <c r="B49" s="183">
        <v>2</v>
      </c>
      <c r="C49" s="207" t="s">
        <v>72</v>
      </c>
      <c r="D49" s="51"/>
    </row>
    <row r="50" spans="1:4" ht="14.25" thickBot="1" x14ac:dyDescent="0.3">
      <c r="A50" s="182" t="s">
        <v>91</v>
      </c>
      <c r="B50" s="183">
        <v>3</v>
      </c>
      <c r="C50" s="209" t="s">
        <v>86</v>
      </c>
      <c r="D50" s="11"/>
    </row>
    <row r="51" spans="1:4" ht="41.25" thickBot="1" x14ac:dyDescent="0.3">
      <c r="A51" s="203" t="s">
        <v>104</v>
      </c>
      <c r="B51" s="179">
        <v>6</v>
      </c>
      <c r="C51" s="217" t="s">
        <v>115</v>
      </c>
      <c r="D51" s="158"/>
    </row>
    <row r="52" spans="1:4" ht="14.25" thickBot="1" x14ac:dyDescent="0.3">
      <c r="A52" s="203" t="s">
        <v>95</v>
      </c>
      <c r="B52" s="179">
        <v>8</v>
      </c>
      <c r="C52" s="209" t="s">
        <v>118</v>
      </c>
      <c r="D52" s="158"/>
    </row>
    <row r="53" spans="1:4" ht="14.25" thickBot="1" x14ac:dyDescent="0.3">
      <c r="A53" s="203" t="s">
        <v>96</v>
      </c>
      <c r="B53" s="179">
        <v>8</v>
      </c>
      <c r="C53" s="209" t="s">
        <v>114</v>
      </c>
      <c r="D53" s="158"/>
    </row>
    <row r="54" spans="1:4" ht="14.25" thickBot="1" x14ac:dyDescent="0.3">
      <c r="A54" s="12" t="s">
        <v>21</v>
      </c>
      <c r="B54" s="12">
        <f>SUM(B31:B53)</f>
        <v>90</v>
      </c>
      <c r="C54" s="211" t="s">
        <v>28</v>
      </c>
      <c r="D54" s="13"/>
    </row>
    <row r="55" spans="1:4" ht="15" thickBot="1" x14ac:dyDescent="0.35">
      <c r="A55" s="14"/>
      <c r="B55" s="14"/>
      <c r="C55" s="212"/>
      <c r="D55" s="14"/>
    </row>
    <row r="56" spans="1:4" ht="18.75" thickBot="1" x14ac:dyDescent="0.3">
      <c r="A56" s="6" t="s">
        <v>13</v>
      </c>
      <c r="B56" s="7">
        <v>3</v>
      </c>
      <c r="C56" s="204"/>
      <c r="D56" s="84"/>
    </row>
    <row r="57" spans="1:4" ht="27.75" thickBot="1" x14ac:dyDescent="0.3">
      <c r="A57" s="8" t="s">
        <v>2</v>
      </c>
      <c r="B57" s="18" t="s">
        <v>14</v>
      </c>
      <c r="C57" s="205" t="s">
        <v>6</v>
      </c>
      <c r="D57" s="8" t="s">
        <v>12</v>
      </c>
    </row>
    <row r="58" spans="1:4" x14ac:dyDescent="0.25">
      <c r="A58" s="5"/>
      <c r="B58" s="4"/>
      <c r="C58" s="206" t="s">
        <v>30</v>
      </c>
      <c r="D58" s="9"/>
    </row>
    <row r="59" spans="1:4" x14ac:dyDescent="0.25">
      <c r="A59" s="182" t="s">
        <v>42</v>
      </c>
      <c r="B59" s="183">
        <v>2</v>
      </c>
      <c r="C59" s="207" t="s">
        <v>72</v>
      </c>
      <c r="D59" s="10"/>
    </row>
    <row r="60" spans="1:4" x14ac:dyDescent="0.25">
      <c r="A60" s="182" t="s">
        <v>91</v>
      </c>
      <c r="B60" s="183">
        <v>3</v>
      </c>
      <c r="C60" s="209" t="s">
        <v>86</v>
      </c>
      <c r="D60" s="10"/>
    </row>
    <row r="61" spans="1:4" ht="27" x14ac:dyDescent="0.25">
      <c r="A61" s="203" t="s">
        <v>101</v>
      </c>
      <c r="B61" s="179">
        <v>12</v>
      </c>
      <c r="C61" s="217" t="s">
        <v>116</v>
      </c>
      <c r="D61" s="10"/>
    </row>
    <row r="62" spans="1:4" ht="27" x14ac:dyDescent="0.25">
      <c r="A62" s="203" t="s">
        <v>97</v>
      </c>
      <c r="B62" s="179">
        <v>7</v>
      </c>
      <c r="C62" s="217" t="s">
        <v>117</v>
      </c>
      <c r="D62" s="10"/>
    </row>
    <row r="63" spans="1:4" x14ac:dyDescent="0.25">
      <c r="A63" s="182"/>
      <c r="B63" s="183"/>
      <c r="C63" s="209"/>
      <c r="D63" s="10"/>
    </row>
    <row r="64" spans="1:4" x14ac:dyDescent="0.25">
      <c r="A64" s="1"/>
      <c r="B64" s="2"/>
      <c r="C64" s="208" t="s">
        <v>31</v>
      </c>
      <c r="D64" s="10"/>
    </row>
    <row r="65" spans="1:4" x14ac:dyDescent="0.25">
      <c r="A65" s="182" t="s">
        <v>42</v>
      </c>
      <c r="B65" s="183">
        <v>2</v>
      </c>
      <c r="C65" s="207" t="s">
        <v>72</v>
      </c>
      <c r="D65" s="10"/>
    </row>
    <row r="66" spans="1:4" x14ac:dyDescent="0.25">
      <c r="A66" s="182" t="s">
        <v>91</v>
      </c>
      <c r="B66" s="183">
        <v>3</v>
      </c>
      <c r="C66" s="209" t="s">
        <v>86</v>
      </c>
      <c r="D66" s="10"/>
    </row>
    <row r="67" spans="1:4" ht="27" x14ac:dyDescent="0.25">
      <c r="A67" s="182" t="s">
        <v>97</v>
      </c>
      <c r="B67" s="183">
        <v>17</v>
      </c>
      <c r="C67" s="217" t="s">
        <v>117</v>
      </c>
      <c r="D67" s="10"/>
    </row>
    <row r="68" spans="1:4" ht="40.5" x14ac:dyDescent="0.25">
      <c r="A68" s="182" t="s">
        <v>99</v>
      </c>
      <c r="B68" s="183">
        <v>5</v>
      </c>
      <c r="C68" s="209" t="s">
        <v>119</v>
      </c>
      <c r="D68" s="10"/>
    </row>
    <row r="69" spans="1:4" x14ac:dyDescent="0.25">
      <c r="A69" s="1"/>
      <c r="B69" s="2"/>
      <c r="C69" s="207"/>
      <c r="D69" s="10"/>
    </row>
    <row r="70" spans="1:4" x14ac:dyDescent="0.25">
      <c r="A70" s="2"/>
      <c r="B70" s="2"/>
      <c r="C70" s="208" t="s">
        <v>32</v>
      </c>
      <c r="D70" s="10"/>
    </row>
    <row r="71" spans="1:4" x14ac:dyDescent="0.25">
      <c r="A71" s="182" t="s">
        <v>42</v>
      </c>
      <c r="B71" s="183">
        <v>2</v>
      </c>
      <c r="C71" s="207" t="s">
        <v>72</v>
      </c>
      <c r="D71" s="10"/>
    </row>
    <row r="72" spans="1:4" x14ac:dyDescent="0.25">
      <c r="A72" s="182" t="s">
        <v>91</v>
      </c>
      <c r="B72" s="183">
        <v>3</v>
      </c>
      <c r="C72" s="209" t="s">
        <v>86</v>
      </c>
      <c r="D72" s="10"/>
    </row>
    <row r="73" spans="1:4" ht="40.5" x14ac:dyDescent="0.25">
      <c r="A73" s="182" t="s">
        <v>99</v>
      </c>
      <c r="B73" s="183">
        <v>7</v>
      </c>
      <c r="C73" s="209" t="s">
        <v>119</v>
      </c>
      <c r="D73" s="51"/>
    </row>
    <row r="74" spans="1:4" x14ac:dyDescent="0.25">
      <c r="A74" s="203"/>
      <c r="B74" s="179"/>
      <c r="C74" s="209"/>
      <c r="D74" s="51"/>
    </row>
    <row r="75" spans="1:4" x14ac:dyDescent="0.25">
      <c r="A75" s="50"/>
      <c r="B75" s="50"/>
      <c r="C75" s="208" t="s">
        <v>33</v>
      </c>
      <c r="D75" s="51"/>
    </row>
    <row r="76" spans="1:4" x14ac:dyDescent="0.25">
      <c r="A76" s="182" t="s">
        <v>42</v>
      </c>
      <c r="B76" s="183">
        <v>2</v>
      </c>
      <c r="C76" s="207" t="s">
        <v>72</v>
      </c>
      <c r="D76" s="51"/>
    </row>
    <row r="77" spans="1:4" x14ac:dyDescent="0.25">
      <c r="A77" s="182" t="s">
        <v>91</v>
      </c>
      <c r="B77" s="183">
        <v>3</v>
      </c>
      <c r="C77" s="209" t="s">
        <v>86</v>
      </c>
      <c r="D77" s="181"/>
    </row>
    <row r="78" spans="1:4" ht="27" x14ac:dyDescent="0.25">
      <c r="A78" s="203" t="s">
        <v>100</v>
      </c>
      <c r="B78" s="179">
        <v>12</v>
      </c>
      <c r="C78" s="217" t="s">
        <v>120</v>
      </c>
      <c r="D78" s="181"/>
    </row>
    <row r="79" spans="1:4" ht="27" x14ac:dyDescent="0.25">
      <c r="A79" s="203" t="s">
        <v>48</v>
      </c>
      <c r="B79" s="179">
        <v>10</v>
      </c>
      <c r="C79" s="217" t="s">
        <v>121</v>
      </c>
      <c r="D79" s="181"/>
    </row>
    <row r="80" spans="1:4" ht="14.25" thickBot="1" x14ac:dyDescent="0.3">
      <c r="A80" s="203"/>
      <c r="B80" s="179"/>
      <c r="C80" s="217"/>
      <c r="D80" s="181"/>
    </row>
    <row r="81" spans="1:4" ht="27.75" thickBot="1" x14ac:dyDescent="0.3">
      <c r="A81" s="12" t="s">
        <v>21</v>
      </c>
      <c r="B81" s="12">
        <f>SUM(B58:B79)</f>
        <v>90</v>
      </c>
      <c r="C81" s="211" t="s">
        <v>28</v>
      </c>
      <c r="D81" s="13"/>
    </row>
    <row r="82" spans="1:4" ht="15" thickBot="1" x14ac:dyDescent="0.35">
      <c r="A82" s="14"/>
      <c r="B82" s="14"/>
      <c r="C82" s="212"/>
      <c r="D82" s="14"/>
    </row>
    <row r="83" spans="1:4" ht="18.75" thickBot="1" x14ac:dyDescent="0.3">
      <c r="A83" s="6" t="s">
        <v>13</v>
      </c>
      <c r="B83" s="7">
        <v>5</v>
      </c>
      <c r="C83" s="204"/>
      <c r="D83" s="84"/>
    </row>
    <row r="84" spans="1:4" ht="27.75" thickBot="1" x14ac:dyDescent="0.3">
      <c r="A84" s="8" t="s">
        <v>2</v>
      </c>
      <c r="B84" s="18" t="s">
        <v>14</v>
      </c>
      <c r="C84" s="205" t="s">
        <v>6</v>
      </c>
      <c r="D84" s="8" t="s">
        <v>12</v>
      </c>
    </row>
    <row r="85" spans="1:4" x14ac:dyDescent="0.25">
      <c r="A85" s="5"/>
      <c r="B85" s="4"/>
      <c r="C85" s="206" t="s">
        <v>30</v>
      </c>
      <c r="D85" s="9"/>
    </row>
    <row r="86" spans="1:4" x14ac:dyDescent="0.25">
      <c r="A86" s="1" t="s">
        <v>42</v>
      </c>
      <c r="B86" s="2">
        <v>2</v>
      </c>
      <c r="C86" s="207" t="s">
        <v>72</v>
      </c>
      <c r="D86" s="88"/>
    </row>
    <row r="87" spans="1:4" x14ac:dyDescent="0.25">
      <c r="A87" s="182" t="s">
        <v>91</v>
      </c>
      <c r="B87" s="183">
        <v>3</v>
      </c>
      <c r="C87" s="209" t="s">
        <v>86</v>
      </c>
      <c r="D87" s="88"/>
    </row>
    <row r="88" spans="1:4" ht="27" x14ac:dyDescent="0.25">
      <c r="A88" s="1" t="s">
        <v>48</v>
      </c>
      <c r="B88" s="218">
        <v>4</v>
      </c>
      <c r="C88" s="217" t="s">
        <v>121</v>
      </c>
      <c r="D88" s="10"/>
    </row>
    <row r="89" spans="1:4" ht="27" x14ac:dyDescent="0.25">
      <c r="A89" s="1" t="s">
        <v>49</v>
      </c>
      <c r="B89" s="2">
        <v>8</v>
      </c>
      <c r="C89" s="209" t="s">
        <v>122</v>
      </c>
      <c r="D89" s="10"/>
    </row>
    <row r="90" spans="1:4" x14ac:dyDescent="0.25">
      <c r="A90" s="1" t="s">
        <v>50</v>
      </c>
      <c r="B90" s="2">
        <v>7</v>
      </c>
      <c r="C90" s="209" t="s">
        <v>123</v>
      </c>
      <c r="D90" s="10"/>
    </row>
    <row r="91" spans="1:4" x14ac:dyDescent="0.25">
      <c r="A91" s="1"/>
      <c r="B91" s="2"/>
      <c r="C91" s="208" t="s">
        <v>31</v>
      </c>
      <c r="D91" s="10"/>
    </row>
    <row r="92" spans="1:4" x14ac:dyDescent="0.25">
      <c r="A92" s="182" t="s">
        <v>42</v>
      </c>
      <c r="B92" s="183">
        <v>2</v>
      </c>
      <c r="C92" s="207" t="s">
        <v>72</v>
      </c>
      <c r="D92" s="10"/>
    </row>
    <row r="93" spans="1:4" x14ac:dyDescent="0.25">
      <c r="A93" s="182" t="s">
        <v>91</v>
      </c>
      <c r="B93" s="183">
        <v>3</v>
      </c>
      <c r="C93" s="209" t="s">
        <v>86</v>
      </c>
      <c r="D93" s="10"/>
    </row>
    <row r="94" spans="1:4" x14ac:dyDescent="0.25">
      <c r="A94" s="1" t="s">
        <v>50</v>
      </c>
      <c r="B94" s="2">
        <v>22</v>
      </c>
      <c r="C94" s="209" t="s">
        <v>123</v>
      </c>
      <c r="D94" s="10"/>
    </row>
    <row r="95" spans="1:4" x14ac:dyDescent="0.25">
      <c r="A95" s="2"/>
      <c r="B95" s="2"/>
      <c r="C95" s="208" t="s">
        <v>32</v>
      </c>
      <c r="D95" s="10"/>
    </row>
    <row r="96" spans="1:4" x14ac:dyDescent="0.25">
      <c r="A96" s="182" t="s">
        <v>42</v>
      </c>
      <c r="B96" s="183">
        <v>2</v>
      </c>
      <c r="C96" s="207" t="s">
        <v>72</v>
      </c>
      <c r="D96" s="10"/>
    </row>
    <row r="97" spans="1:4" x14ac:dyDescent="0.25">
      <c r="A97" s="182" t="s">
        <v>91</v>
      </c>
      <c r="B97" s="183">
        <v>3</v>
      </c>
      <c r="C97" s="209" t="s">
        <v>86</v>
      </c>
      <c r="D97" s="10"/>
    </row>
    <row r="98" spans="1:4" x14ac:dyDescent="0.25">
      <c r="A98" s="1" t="s">
        <v>50</v>
      </c>
      <c r="B98" s="2">
        <v>7</v>
      </c>
      <c r="C98" s="209" t="s">
        <v>123</v>
      </c>
      <c r="D98" s="51"/>
    </row>
    <row r="99" spans="1:4" x14ac:dyDescent="0.25">
      <c r="A99" s="50"/>
      <c r="B99" s="50"/>
      <c r="C99" s="208" t="s">
        <v>33</v>
      </c>
      <c r="D99" s="51"/>
    </row>
    <row r="100" spans="1:4" x14ac:dyDescent="0.25">
      <c r="A100" s="182" t="s">
        <v>42</v>
      </c>
      <c r="B100" s="183">
        <v>2</v>
      </c>
      <c r="C100" s="207" t="s">
        <v>72</v>
      </c>
      <c r="D100" s="51"/>
    </row>
    <row r="101" spans="1:4" x14ac:dyDescent="0.25">
      <c r="A101" s="182" t="s">
        <v>91</v>
      </c>
      <c r="B101" s="183">
        <v>3</v>
      </c>
      <c r="C101" s="209" t="s">
        <v>86</v>
      </c>
      <c r="D101" s="181"/>
    </row>
    <row r="102" spans="1:4" ht="14.25" thickBot="1" x14ac:dyDescent="0.3">
      <c r="A102" s="1" t="s">
        <v>50</v>
      </c>
      <c r="B102" s="2">
        <v>22</v>
      </c>
      <c r="C102" s="209" t="s">
        <v>123</v>
      </c>
      <c r="D102" s="181"/>
    </row>
    <row r="103" spans="1:4" ht="14.25" thickBot="1" x14ac:dyDescent="0.3">
      <c r="A103" s="12" t="s">
        <v>21</v>
      </c>
      <c r="B103" s="12">
        <f>SUM(B85:B102)</f>
        <v>90</v>
      </c>
      <c r="C103" s="211" t="s">
        <v>28</v>
      </c>
      <c r="D103" s="13"/>
    </row>
    <row r="104" spans="1:4" ht="15" thickBot="1" x14ac:dyDescent="0.35">
      <c r="A104" s="14"/>
      <c r="B104" s="14"/>
      <c r="C104" s="212"/>
      <c r="D104" s="14"/>
    </row>
    <row r="105" spans="1:4" ht="18.75" thickBot="1" x14ac:dyDescent="0.3">
      <c r="A105" s="6" t="s">
        <v>13</v>
      </c>
      <c r="B105" s="7">
        <v>6</v>
      </c>
      <c r="C105" s="204"/>
      <c r="D105" s="84"/>
    </row>
    <row r="106" spans="1:4" ht="27.75" thickBot="1" x14ac:dyDescent="0.3">
      <c r="A106" s="8" t="s">
        <v>2</v>
      </c>
      <c r="B106" s="18" t="s">
        <v>14</v>
      </c>
      <c r="C106" s="205" t="s">
        <v>6</v>
      </c>
      <c r="D106" s="8" t="s">
        <v>12</v>
      </c>
    </row>
    <row r="107" spans="1:4" x14ac:dyDescent="0.25">
      <c r="A107" s="5"/>
      <c r="B107" s="4"/>
      <c r="C107" s="206" t="s">
        <v>30</v>
      </c>
      <c r="D107" s="9"/>
    </row>
    <row r="108" spans="1:4" x14ac:dyDescent="0.25">
      <c r="A108" s="182" t="s">
        <v>42</v>
      </c>
      <c r="B108" s="183">
        <v>2</v>
      </c>
      <c r="C108" s="207" t="s">
        <v>72</v>
      </c>
      <c r="D108" s="10"/>
    </row>
    <row r="109" spans="1:4" x14ac:dyDescent="0.25">
      <c r="A109" s="182" t="s">
        <v>91</v>
      </c>
      <c r="B109" s="183">
        <v>3</v>
      </c>
      <c r="C109" s="209" t="s">
        <v>86</v>
      </c>
      <c r="D109" s="10"/>
    </row>
    <row r="110" spans="1:4" x14ac:dyDescent="0.25">
      <c r="A110" s="182" t="s">
        <v>50</v>
      </c>
      <c r="B110" s="183">
        <v>19</v>
      </c>
      <c r="C110" s="209" t="s">
        <v>123</v>
      </c>
      <c r="D110" s="10"/>
    </row>
    <row r="111" spans="1:4" x14ac:dyDescent="0.25">
      <c r="A111" s="1"/>
      <c r="B111" s="2"/>
      <c r="C111" s="208" t="s">
        <v>31</v>
      </c>
      <c r="D111" s="10"/>
    </row>
    <row r="112" spans="1:4" x14ac:dyDescent="0.25">
      <c r="A112" s="182" t="s">
        <v>42</v>
      </c>
      <c r="B112" s="183">
        <v>2</v>
      </c>
      <c r="C112" s="207" t="s">
        <v>72</v>
      </c>
      <c r="D112" s="10"/>
    </row>
    <row r="113" spans="1:4" x14ac:dyDescent="0.25">
      <c r="A113" s="182" t="s">
        <v>91</v>
      </c>
      <c r="B113" s="183">
        <v>3</v>
      </c>
      <c r="C113" s="209" t="s">
        <v>86</v>
      </c>
      <c r="D113" s="10"/>
    </row>
    <row r="114" spans="1:4" x14ac:dyDescent="0.25">
      <c r="A114" s="182" t="s">
        <v>50</v>
      </c>
      <c r="B114" s="183">
        <v>22</v>
      </c>
      <c r="C114" s="209" t="s">
        <v>123</v>
      </c>
      <c r="D114" s="10"/>
    </row>
    <row r="115" spans="1:4" x14ac:dyDescent="0.25">
      <c r="A115" s="2"/>
      <c r="B115" s="2"/>
      <c r="C115" s="208" t="s">
        <v>32</v>
      </c>
      <c r="D115" s="10"/>
    </row>
    <row r="116" spans="1:4" x14ac:dyDescent="0.25">
      <c r="A116" s="182" t="s">
        <v>42</v>
      </c>
      <c r="B116" s="183">
        <v>2</v>
      </c>
      <c r="C116" s="207" t="s">
        <v>72</v>
      </c>
      <c r="D116" s="10"/>
    </row>
    <row r="117" spans="1:4" x14ac:dyDescent="0.25">
      <c r="A117" s="182" t="s">
        <v>91</v>
      </c>
      <c r="B117" s="183">
        <v>3</v>
      </c>
      <c r="C117" s="209" t="s">
        <v>86</v>
      </c>
      <c r="D117" s="10"/>
    </row>
    <row r="118" spans="1:4" x14ac:dyDescent="0.25">
      <c r="A118" s="182" t="s">
        <v>50</v>
      </c>
      <c r="B118" s="183">
        <v>7</v>
      </c>
      <c r="C118" s="209" t="s">
        <v>123</v>
      </c>
      <c r="D118" s="51"/>
    </row>
    <row r="119" spans="1:4" x14ac:dyDescent="0.25">
      <c r="A119" s="50"/>
      <c r="B119" s="50"/>
      <c r="C119" s="208" t="s">
        <v>33</v>
      </c>
      <c r="D119" s="51"/>
    </row>
    <row r="120" spans="1:4" x14ac:dyDescent="0.25">
      <c r="A120" s="182" t="s">
        <v>42</v>
      </c>
      <c r="B120" s="183">
        <v>2</v>
      </c>
      <c r="C120" s="207" t="s">
        <v>72</v>
      </c>
      <c r="D120" s="51"/>
    </row>
    <row r="121" spans="1:4" x14ac:dyDescent="0.25">
      <c r="A121" s="182" t="s">
        <v>91</v>
      </c>
      <c r="B121" s="183">
        <v>3</v>
      </c>
      <c r="C121" s="209" t="s">
        <v>86</v>
      </c>
      <c r="D121" s="181"/>
    </row>
    <row r="122" spans="1:4" ht="14.25" thickBot="1" x14ac:dyDescent="0.3">
      <c r="A122" s="182" t="s">
        <v>50</v>
      </c>
      <c r="B122" s="183">
        <v>22</v>
      </c>
      <c r="C122" s="209" t="s">
        <v>123</v>
      </c>
      <c r="D122" s="181"/>
    </row>
    <row r="123" spans="1:4" ht="14.25" thickBot="1" x14ac:dyDescent="0.3">
      <c r="A123" s="12" t="s">
        <v>21</v>
      </c>
      <c r="B123" s="12">
        <f>SUM(B107:B122)</f>
        <v>90</v>
      </c>
      <c r="C123" s="211" t="s">
        <v>28</v>
      </c>
      <c r="D123" s="13"/>
    </row>
    <row r="124" spans="1:4" ht="15" thickBot="1" x14ac:dyDescent="0.35">
      <c r="A124" s="14"/>
      <c r="B124" s="14"/>
      <c r="C124" s="212"/>
      <c r="D124" s="14"/>
    </row>
    <row r="125" spans="1:4" ht="18.75" thickBot="1" x14ac:dyDescent="0.3">
      <c r="A125" s="6" t="s">
        <v>13</v>
      </c>
      <c r="B125" s="7">
        <v>7</v>
      </c>
      <c r="C125" s="204"/>
      <c r="D125" s="84"/>
    </row>
    <row r="126" spans="1:4" ht="27.75" thickBot="1" x14ac:dyDescent="0.3">
      <c r="A126" s="8" t="s">
        <v>2</v>
      </c>
      <c r="B126" s="18" t="s">
        <v>14</v>
      </c>
      <c r="C126" s="205" t="s">
        <v>6</v>
      </c>
      <c r="D126" s="8" t="s">
        <v>12</v>
      </c>
    </row>
    <row r="127" spans="1:4" x14ac:dyDescent="0.25">
      <c r="A127" s="5"/>
      <c r="B127" s="4"/>
      <c r="C127" s="206" t="s">
        <v>30</v>
      </c>
      <c r="D127" s="9"/>
    </row>
    <row r="128" spans="1:4" x14ac:dyDescent="0.25">
      <c r="A128" s="182" t="s">
        <v>42</v>
      </c>
      <c r="B128" s="183">
        <v>2</v>
      </c>
      <c r="C128" s="207" t="s">
        <v>72</v>
      </c>
      <c r="D128" s="10"/>
    </row>
    <row r="129" spans="1:4" x14ac:dyDescent="0.25">
      <c r="A129" s="182" t="s">
        <v>91</v>
      </c>
      <c r="B129" s="183">
        <v>3</v>
      </c>
      <c r="C129" s="209" t="s">
        <v>86</v>
      </c>
      <c r="D129" s="10"/>
    </row>
    <row r="130" spans="1:4" x14ac:dyDescent="0.25">
      <c r="A130" s="182" t="s">
        <v>50</v>
      </c>
      <c r="B130" s="183">
        <v>19</v>
      </c>
      <c r="C130" s="209" t="s">
        <v>123</v>
      </c>
      <c r="D130" s="10"/>
    </row>
    <row r="131" spans="1:4" x14ac:dyDescent="0.25">
      <c r="A131" s="1"/>
      <c r="B131" s="2"/>
      <c r="C131" s="208" t="s">
        <v>31</v>
      </c>
      <c r="D131" s="10"/>
    </row>
    <row r="132" spans="1:4" x14ac:dyDescent="0.25">
      <c r="A132" s="182" t="s">
        <v>42</v>
      </c>
      <c r="B132" s="183">
        <v>2</v>
      </c>
      <c r="C132" s="207" t="s">
        <v>72</v>
      </c>
      <c r="D132" s="10"/>
    </row>
    <row r="133" spans="1:4" x14ac:dyDescent="0.25">
      <c r="A133" s="182" t="s">
        <v>91</v>
      </c>
      <c r="B133" s="183">
        <v>3</v>
      </c>
      <c r="C133" s="209" t="s">
        <v>86</v>
      </c>
      <c r="D133" s="10"/>
    </row>
    <row r="134" spans="1:4" x14ac:dyDescent="0.25">
      <c r="A134" s="182" t="s">
        <v>50</v>
      </c>
      <c r="B134" s="183">
        <v>22</v>
      </c>
      <c r="C134" s="209" t="s">
        <v>123</v>
      </c>
      <c r="D134" s="10"/>
    </row>
    <row r="135" spans="1:4" x14ac:dyDescent="0.25">
      <c r="A135" s="2"/>
      <c r="B135" s="2"/>
      <c r="C135" s="208" t="s">
        <v>32</v>
      </c>
      <c r="D135" s="10"/>
    </row>
    <row r="136" spans="1:4" x14ac:dyDescent="0.25">
      <c r="A136" s="182" t="s">
        <v>42</v>
      </c>
      <c r="B136" s="183">
        <v>2</v>
      </c>
      <c r="C136" s="207" t="s">
        <v>72</v>
      </c>
      <c r="D136" s="10"/>
    </row>
    <row r="137" spans="1:4" x14ac:dyDescent="0.25">
      <c r="A137" s="182" t="s">
        <v>91</v>
      </c>
      <c r="B137" s="183">
        <v>3</v>
      </c>
      <c r="C137" s="209" t="s">
        <v>86</v>
      </c>
      <c r="D137" s="10"/>
    </row>
    <row r="138" spans="1:4" x14ac:dyDescent="0.25">
      <c r="A138" s="182" t="s">
        <v>50</v>
      </c>
      <c r="B138" s="183">
        <v>7</v>
      </c>
      <c r="C138" s="209" t="s">
        <v>123</v>
      </c>
      <c r="D138" s="51"/>
    </row>
    <row r="139" spans="1:4" x14ac:dyDescent="0.25">
      <c r="A139" s="50"/>
      <c r="B139" s="50"/>
      <c r="C139" s="208" t="s">
        <v>33</v>
      </c>
      <c r="D139" s="51"/>
    </row>
    <row r="140" spans="1:4" x14ac:dyDescent="0.25">
      <c r="A140" s="182" t="s">
        <v>42</v>
      </c>
      <c r="B140" s="183">
        <v>2</v>
      </c>
      <c r="C140" s="207" t="s">
        <v>72</v>
      </c>
      <c r="D140" s="51"/>
    </row>
    <row r="141" spans="1:4" x14ac:dyDescent="0.25">
      <c r="A141" s="182" t="s">
        <v>91</v>
      </c>
      <c r="B141" s="183">
        <v>3</v>
      </c>
      <c r="C141" s="209" t="s">
        <v>86</v>
      </c>
      <c r="D141" s="181"/>
    </row>
    <row r="142" spans="1:4" ht="14.25" thickBot="1" x14ac:dyDescent="0.3">
      <c r="A142" s="182" t="s">
        <v>50</v>
      </c>
      <c r="B142" s="183">
        <v>22</v>
      </c>
      <c r="C142" s="209" t="s">
        <v>123</v>
      </c>
      <c r="D142" s="181"/>
    </row>
    <row r="143" spans="1:4" ht="14.25" thickBot="1" x14ac:dyDescent="0.3">
      <c r="A143" s="12" t="s">
        <v>21</v>
      </c>
      <c r="B143" s="12">
        <f>SUM(B127:B142)</f>
        <v>90</v>
      </c>
      <c r="C143" s="211" t="s">
        <v>28</v>
      </c>
      <c r="D143" s="13"/>
    </row>
    <row r="144" spans="1:4" ht="15" thickBot="1" x14ac:dyDescent="0.35">
      <c r="A144" s="14"/>
      <c r="B144" s="14"/>
      <c r="C144" s="212"/>
      <c r="D144" s="14"/>
    </row>
    <row r="145" spans="1:4" ht="18.75" thickBot="1" x14ac:dyDescent="0.3">
      <c r="A145" s="6" t="s">
        <v>13</v>
      </c>
      <c r="B145" s="7">
        <v>8</v>
      </c>
      <c r="C145" s="204"/>
      <c r="D145" s="84"/>
    </row>
    <row r="146" spans="1:4" ht="27.75" thickBot="1" x14ac:dyDescent="0.3">
      <c r="A146" s="8" t="s">
        <v>2</v>
      </c>
      <c r="B146" s="18" t="s">
        <v>14</v>
      </c>
      <c r="C146" s="205" t="s">
        <v>6</v>
      </c>
      <c r="D146" s="8" t="s">
        <v>12</v>
      </c>
    </row>
    <row r="147" spans="1:4" x14ac:dyDescent="0.25">
      <c r="A147" s="5"/>
      <c r="B147" s="4"/>
      <c r="C147" s="206" t="s">
        <v>30</v>
      </c>
      <c r="D147" s="9"/>
    </row>
    <row r="148" spans="1:4" x14ac:dyDescent="0.25">
      <c r="A148" s="182" t="s">
        <v>42</v>
      </c>
      <c r="B148" s="183">
        <v>2</v>
      </c>
      <c r="C148" s="207" t="s">
        <v>72</v>
      </c>
      <c r="D148" s="10"/>
    </row>
    <row r="149" spans="1:4" x14ac:dyDescent="0.25">
      <c r="A149" s="182" t="s">
        <v>91</v>
      </c>
      <c r="B149" s="183">
        <v>3</v>
      </c>
      <c r="C149" s="209" t="s">
        <v>86</v>
      </c>
      <c r="D149" s="10"/>
    </row>
    <row r="150" spans="1:4" x14ac:dyDescent="0.25">
      <c r="A150" s="182" t="s">
        <v>50</v>
      </c>
      <c r="B150" s="183">
        <v>19</v>
      </c>
      <c r="C150" s="209" t="s">
        <v>123</v>
      </c>
      <c r="D150" s="10"/>
    </row>
    <row r="151" spans="1:4" x14ac:dyDescent="0.25">
      <c r="A151" s="1"/>
      <c r="B151" s="2"/>
      <c r="C151" s="208" t="s">
        <v>31</v>
      </c>
      <c r="D151" s="10"/>
    </row>
    <row r="152" spans="1:4" x14ac:dyDescent="0.25">
      <c r="A152" s="182" t="s">
        <v>42</v>
      </c>
      <c r="B152" s="183">
        <v>2</v>
      </c>
      <c r="C152" s="207" t="s">
        <v>72</v>
      </c>
      <c r="D152" s="10"/>
    </row>
    <row r="153" spans="1:4" x14ac:dyDescent="0.25">
      <c r="A153" s="182" t="s">
        <v>91</v>
      </c>
      <c r="B153" s="183">
        <v>3</v>
      </c>
      <c r="C153" s="209" t="s">
        <v>86</v>
      </c>
      <c r="D153" s="10"/>
    </row>
    <row r="154" spans="1:4" x14ac:dyDescent="0.25">
      <c r="A154" s="182" t="s">
        <v>50</v>
      </c>
      <c r="B154" s="183">
        <v>22</v>
      </c>
      <c r="C154" s="209" t="s">
        <v>123</v>
      </c>
      <c r="D154" s="10"/>
    </row>
    <row r="155" spans="1:4" x14ac:dyDescent="0.25">
      <c r="A155" s="2"/>
      <c r="B155" s="2"/>
      <c r="C155" s="208" t="s">
        <v>32</v>
      </c>
      <c r="D155" s="10"/>
    </row>
    <row r="156" spans="1:4" x14ac:dyDescent="0.25">
      <c r="A156" s="182" t="s">
        <v>42</v>
      </c>
      <c r="B156" s="183">
        <v>2</v>
      </c>
      <c r="C156" s="207" t="s">
        <v>72</v>
      </c>
      <c r="D156" s="10"/>
    </row>
    <row r="157" spans="1:4" x14ac:dyDescent="0.25">
      <c r="A157" s="182" t="s">
        <v>91</v>
      </c>
      <c r="B157" s="183">
        <v>3</v>
      </c>
      <c r="C157" s="209" t="s">
        <v>86</v>
      </c>
      <c r="D157" s="10"/>
    </row>
    <row r="158" spans="1:4" x14ac:dyDescent="0.25">
      <c r="A158" s="182" t="s">
        <v>50</v>
      </c>
      <c r="B158" s="183">
        <v>7</v>
      </c>
      <c r="C158" s="209" t="s">
        <v>123</v>
      </c>
      <c r="D158" s="51"/>
    </row>
    <row r="159" spans="1:4" x14ac:dyDescent="0.25">
      <c r="A159" s="50"/>
      <c r="B159" s="50"/>
      <c r="C159" s="208" t="s">
        <v>33</v>
      </c>
      <c r="D159" s="51"/>
    </row>
    <row r="160" spans="1:4" x14ac:dyDescent="0.25">
      <c r="A160" s="182" t="s">
        <v>42</v>
      </c>
      <c r="B160" s="183">
        <v>2</v>
      </c>
      <c r="C160" s="207" t="s">
        <v>72</v>
      </c>
      <c r="D160" s="51"/>
    </row>
    <row r="161" spans="1:4" x14ac:dyDescent="0.25">
      <c r="A161" s="182" t="s">
        <v>91</v>
      </c>
      <c r="B161" s="183">
        <v>3</v>
      </c>
      <c r="C161" s="209" t="s">
        <v>86</v>
      </c>
      <c r="D161" s="181"/>
    </row>
    <row r="162" spans="1:4" ht="14.25" thickBot="1" x14ac:dyDescent="0.3">
      <c r="A162" s="182" t="s">
        <v>50</v>
      </c>
      <c r="B162" s="183">
        <v>22</v>
      </c>
      <c r="C162" s="209" t="s">
        <v>123</v>
      </c>
      <c r="D162" s="181"/>
    </row>
    <row r="163" spans="1:4" ht="14.25" thickBot="1" x14ac:dyDescent="0.3">
      <c r="A163" s="12" t="s">
        <v>21</v>
      </c>
      <c r="B163" s="12">
        <f>SUM(B147:B162)</f>
        <v>90</v>
      </c>
      <c r="C163" s="211" t="s">
        <v>28</v>
      </c>
      <c r="D163" s="13"/>
    </row>
    <row r="164" spans="1:4" ht="15" thickBot="1" x14ac:dyDescent="0.35">
      <c r="A164" s="14"/>
      <c r="B164" s="14"/>
      <c r="C164" s="212"/>
      <c r="D164" s="14"/>
    </row>
    <row r="165" spans="1:4" ht="18.75" thickBot="1" x14ac:dyDescent="0.3">
      <c r="A165" s="6" t="s">
        <v>13</v>
      </c>
      <c r="B165" s="7">
        <v>9</v>
      </c>
      <c r="C165" s="204"/>
      <c r="D165" s="84"/>
    </row>
    <row r="166" spans="1:4" ht="27.75" thickBot="1" x14ac:dyDescent="0.3">
      <c r="A166" s="8" t="s">
        <v>2</v>
      </c>
      <c r="B166" s="18" t="s">
        <v>14</v>
      </c>
      <c r="C166" s="205" t="s">
        <v>6</v>
      </c>
      <c r="D166" s="8" t="s">
        <v>12</v>
      </c>
    </row>
    <row r="167" spans="1:4" x14ac:dyDescent="0.25">
      <c r="A167" s="5"/>
      <c r="B167" s="4"/>
      <c r="C167" s="206" t="s">
        <v>30</v>
      </c>
      <c r="D167" s="9"/>
    </row>
    <row r="168" spans="1:4" x14ac:dyDescent="0.25">
      <c r="A168" s="182" t="s">
        <v>42</v>
      </c>
      <c r="B168" s="183">
        <v>2</v>
      </c>
      <c r="C168" s="207" t="s">
        <v>72</v>
      </c>
      <c r="D168" s="10"/>
    </row>
    <row r="169" spans="1:4" x14ac:dyDescent="0.25">
      <c r="A169" s="182" t="s">
        <v>91</v>
      </c>
      <c r="B169" s="183">
        <v>3</v>
      </c>
      <c r="C169" s="209" t="s">
        <v>86</v>
      </c>
      <c r="D169" s="10"/>
    </row>
    <row r="170" spans="1:4" x14ac:dyDescent="0.25">
      <c r="A170" s="182" t="s">
        <v>50</v>
      </c>
      <c r="B170" s="183">
        <v>19</v>
      </c>
      <c r="C170" s="209" t="s">
        <v>123</v>
      </c>
      <c r="D170" s="10"/>
    </row>
    <row r="171" spans="1:4" x14ac:dyDescent="0.25">
      <c r="A171" s="1"/>
      <c r="B171" s="2"/>
      <c r="C171" s="208" t="s">
        <v>31</v>
      </c>
      <c r="D171" s="10"/>
    </row>
    <row r="172" spans="1:4" x14ac:dyDescent="0.25">
      <c r="A172" s="182" t="s">
        <v>42</v>
      </c>
      <c r="B172" s="183">
        <v>2</v>
      </c>
      <c r="C172" s="207" t="s">
        <v>72</v>
      </c>
      <c r="D172" s="10"/>
    </row>
    <row r="173" spans="1:4" x14ac:dyDescent="0.25">
      <c r="A173" s="182" t="s">
        <v>91</v>
      </c>
      <c r="B173" s="183">
        <v>3</v>
      </c>
      <c r="C173" s="209" t="s">
        <v>86</v>
      </c>
      <c r="D173" s="10"/>
    </row>
    <row r="174" spans="1:4" x14ac:dyDescent="0.25">
      <c r="A174" s="182" t="s">
        <v>50</v>
      </c>
      <c r="B174" s="183">
        <v>22</v>
      </c>
      <c r="C174" s="209" t="s">
        <v>123</v>
      </c>
      <c r="D174" s="10"/>
    </row>
    <row r="175" spans="1:4" x14ac:dyDescent="0.25">
      <c r="A175" s="2"/>
      <c r="B175" s="2"/>
      <c r="C175" s="208" t="s">
        <v>32</v>
      </c>
      <c r="D175" s="10"/>
    </row>
    <row r="176" spans="1:4" x14ac:dyDescent="0.25">
      <c r="A176" s="182" t="s">
        <v>42</v>
      </c>
      <c r="B176" s="183">
        <v>2</v>
      </c>
      <c r="C176" s="207" t="s">
        <v>72</v>
      </c>
      <c r="D176" s="10"/>
    </row>
    <row r="177" spans="1:4" x14ac:dyDescent="0.25">
      <c r="A177" s="182" t="s">
        <v>91</v>
      </c>
      <c r="B177" s="183">
        <v>3</v>
      </c>
      <c r="C177" s="209" t="s">
        <v>86</v>
      </c>
      <c r="D177" s="10"/>
    </row>
    <row r="178" spans="1:4" x14ac:dyDescent="0.25">
      <c r="A178" s="182" t="s">
        <v>50</v>
      </c>
      <c r="B178" s="183">
        <v>7</v>
      </c>
      <c r="C178" s="209" t="s">
        <v>123</v>
      </c>
      <c r="D178" s="51"/>
    </row>
    <row r="179" spans="1:4" x14ac:dyDescent="0.25">
      <c r="A179" s="50"/>
      <c r="B179" s="50"/>
      <c r="C179" s="208" t="s">
        <v>33</v>
      </c>
      <c r="D179" s="51"/>
    </row>
    <row r="180" spans="1:4" x14ac:dyDescent="0.25">
      <c r="A180" s="182" t="s">
        <v>42</v>
      </c>
      <c r="B180" s="183">
        <v>2</v>
      </c>
      <c r="C180" s="207" t="s">
        <v>72</v>
      </c>
      <c r="D180" s="51"/>
    </row>
    <row r="181" spans="1:4" x14ac:dyDescent="0.25">
      <c r="A181" s="182" t="s">
        <v>91</v>
      </c>
      <c r="B181" s="183">
        <v>3</v>
      </c>
      <c r="C181" s="209" t="s">
        <v>86</v>
      </c>
      <c r="D181" s="181"/>
    </row>
    <row r="182" spans="1:4" ht="14.25" thickBot="1" x14ac:dyDescent="0.3">
      <c r="A182" s="182" t="s">
        <v>50</v>
      </c>
      <c r="B182" s="183">
        <v>22</v>
      </c>
      <c r="C182" s="209" t="s">
        <v>123</v>
      </c>
      <c r="D182" s="181"/>
    </row>
    <row r="183" spans="1:4" ht="14.25" thickBot="1" x14ac:dyDescent="0.3">
      <c r="A183" s="12" t="s">
        <v>21</v>
      </c>
      <c r="B183" s="12">
        <f>SUM(B167:B182)</f>
        <v>90</v>
      </c>
      <c r="C183" s="211" t="s">
        <v>28</v>
      </c>
      <c r="D183" s="13"/>
    </row>
    <row r="184" spans="1:4" ht="14.25" x14ac:dyDescent="0.3">
      <c r="A184" s="14"/>
      <c r="B184" s="14"/>
      <c r="C184" s="212"/>
      <c r="D184" s="14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27:B142 B147:B162 B89:B102 B107:B122 B3:B26 B58:B80 B85:B87 B167:B182 B31:B53" xr:uid="{E38F8F23-8563-4EE9-9944-6656C21BF42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4 B81 B103 B123 B143 B163 B183" xr:uid="{2272AD4B-3461-4537-A983-18B3BDA761BE}">
      <formula1>0</formula1>
      <formula2>NbPerWeek * NbQuartPer</formula2>
    </dataValidation>
    <dataValidation type="list" allowBlank="1" showInputMessage="1" showErrorMessage="1" sqref="A107:A122 A127:A142 A147:A162 A85:A102 A3:A26 A58:A80 A167:A182 A31:A53" xr:uid="{2C7CB938-7CF2-449F-9669-C583380E3C44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69" fitToHeight="0" orientation="portrait" r:id="rId1"/>
  <rowBreaks count="2" manualBreakCount="2">
    <brk id="104" max="16383" man="1"/>
    <brk id="164" max="16383" man="1"/>
  </rowBreaks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Feuil1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2023-01-30T08:20:09Z</cp:lastPrinted>
  <dcterms:created xsi:type="dcterms:W3CDTF">1996-10-21T11:03:58Z</dcterms:created>
  <dcterms:modified xsi:type="dcterms:W3CDTF">2023-01-30T14:26:06Z</dcterms:modified>
</cp:coreProperties>
</file>